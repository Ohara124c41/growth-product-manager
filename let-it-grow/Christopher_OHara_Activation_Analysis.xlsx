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Ohara\Desktop\__Udacity\growth-product-manager\let-it-grow\"/>
    </mc:Choice>
  </mc:AlternateContent>
  <xr:revisionPtr revIDLastSave="0" documentId="13_ncr:1_{F789F283-3596-46F7-8A0B-03963A6C6117}" xr6:coauthVersionLast="47" xr6:coauthVersionMax="47" xr10:uidLastSave="{00000000-0000-0000-0000-000000000000}"/>
  <bookViews>
    <workbookView xWindow="-108" yWindow="-108" windowWidth="23256" windowHeight="13176" firstSheet="7" activeTab="8" xr2:uid="{00000000-000D-0000-FFFF-FFFF00000000}"/>
  </bookViews>
  <sheets>
    <sheet name="Deliverables" sheetId="1" r:id="rId1"/>
    <sheet name="Tab 1 - Measure drop-offs" sheetId="2" r:id="rId2"/>
    <sheet name="Tab 2 - Signup Experiments" sheetId="3" r:id="rId3"/>
    <sheet name="Tab 3 - Activation Hypothesis" sheetId="4" r:id="rId4"/>
    <sheet name="Tab 4 - Habit Moment and Metric" sheetId="5" r:id="rId5"/>
    <sheet name="Tab 5 - Aha Moment and Metric A" sheetId="6" r:id="rId6"/>
    <sheet name="Tab 6 - Setup Moment and Metric" sheetId="7" r:id="rId7"/>
    <sheet name="Tab 7 - Activation Funnel" sheetId="8" r:id="rId8"/>
    <sheet name="Tab 8 - Segment Analysi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9" i="9" l="1"/>
  <c r="E89" i="9"/>
  <c r="C89" i="9"/>
  <c r="B89" i="9"/>
  <c r="B83" i="9"/>
  <c r="G70" i="9"/>
  <c r="E70" i="9"/>
  <c r="C70" i="9"/>
  <c r="B70" i="9"/>
  <c r="B62" i="9"/>
  <c r="G49" i="9"/>
  <c r="E49" i="9"/>
  <c r="C49" i="9"/>
  <c r="B49" i="9"/>
  <c r="B40" i="9"/>
  <c r="G27" i="9"/>
  <c r="E27" i="9"/>
  <c r="C27" i="9"/>
  <c r="B26" i="9"/>
  <c r="B25" i="9"/>
  <c r="B24" i="9"/>
  <c r="B23" i="9"/>
  <c r="B22" i="9"/>
  <c r="B21" i="9"/>
  <c r="B20" i="9"/>
  <c r="B19" i="9"/>
  <c r="B27" i="9" s="1"/>
  <c r="D19" i="8"/>
  <c r="D18" i="8"/>
  <c r="D17" i="8"/>
  <c r="D16" i="8"/>
  <c r="B16" i="8"/>
  <c r="A16" i="8"/>
  <c r="D15" i="8"/>
  <c r="D14" i="8"/>
  <c r="B14" i="8"/>
  <c r="A14" i="8"/>
  <c r="D13" i="8"/>
  <c r="D12" i="8"/>
  <c r="B12" i="8"/>
  <c r="A12" i="8"/>
  <c r="D11" i="8"/>
  <c r="D10" i="8"/>
  <c r="D9" i="8"/>
  <c r="D8" i="8"/>
  <c r="D7" i="8"/>
  <c r="D6" i="8"/>
  <c r="D5" i="8"/>
  <c r="D4" i="8"/>
  <c r="D3" i="8"/>
  <c r="D2" i="8"/>
  <c r="E46" i="7"/>
  <c r="D46" i="7"/>
  <c r="B46" i="7"/>
  <c r="E45" i="7"/>
  <c r="D45" i="7"/>
  <c r="B45" i="7"/>
  <c r="D44" i="7"/>
  <c r="B44" i="7"/>
  <c r="E44" i="7" s="1"/>
  <c r="D43" i="7"/>
  <c r="B43" i="7"/>
  <c r="E43" i="7" s="1"/>
  <c r="D42" i="7"/>
  <c r="B42" i="7"/>
  <c r="E42" i="7" s="1"/>
  <c r="E41" i="7"/>
  <c r="D41" i="7"/>
  <c r="B41" i="7"/>
  <c r="E40" i="7"/>
  <c r="D40" i="7"/>
  <c r="C40" i="7"/>
  <c r="B40" i="7"/>
  <c r="E34" i="7"/>
  <c r="D33" i="7"/>
  <c r="C33" i="7"/>
  <c r="E33" i="7" s="1"/>
  <c r="D32" i="7"/>
  <c r="C32" i="7"/>
  <c r="E32" i="7" s="1"/>
  <c r="E31" i="7"/>
  <c r="D31" i="7"/>
  <c r="C31" i="7"/>
  <c r="E30" i="7"/>
  <c r="D30" i="7"/>
  <c r="C30" i="7"/>
  <c r="E29" i="7"/>
  <c r="D29" i="7"/>
  <c r="C29" i="7"/>
  <c r="B29" i="7"/>
  <c r="B28" i="7"/>
  <c r="E28" i="7" s="1"/>
  <c r="D22" i="7"/>
  <c r="C22" i="7"/>
  <c r="B22" i="7"/>
  <c r="E22" i="7" s="1"/>
  <c r="E21" i="7"/>
  <c r="D21" i="7"/>
  <c r="C21" i="7"/>
  <c r="B21" i="7"/>
  <c r="D20" i="7"/>
  <c r="C20" i="7"/>
  <c r="B20" i="7"/>
  <c r="E20" i="7" s="1"/>
  <c r="D19" i="7"/>
  <c r="C19" i="7"/>
  <c r="B19" i="7"/>
  <c r="E19" i="7" s="1"/>
  <c r="D18" i="7"/>
  <c r="C18" i="7"/>
  <c r="B18" i="7"/>
  <c r="E18" i="7" s="1"/>
  <c r="E17" i="7"/>
  <c r="D17" i="7"/>
  <c r="C17" i="7"/>
  <c r="B17" i="7"/>
  <c r="D16" i="7"/>
  <c r="C16" i="7"/>
  <c r="B16" i="7"/>
  <c r="E16" i="7" s="1"/>
  <c r="D47" i="6"/>
  <c r="C47" i="6"/>
  <c r="B47" i="6"/>
  <c r="E47" i="6" s="1"/>
  <c r="D46" i="6"/>
  <c r="C46" i="6"/>
  <c r="B46" i="6"/>
  <c r="E46" i="6" s="1"/>
  <c r="E45" i="6"/>
  <c r="D45" i="6"/>
  <c r="C45" i="6"/>
  <c r="B45" i="6"/>
  <c r="D44" i="6"/>
  <c r="C44" i="6"/>
  <c r="B44" i="6"/>
  <c r="E44" i="6" s="1"/>
  <c r="D43" i="6"/>
  <c r="C43" i="6"/>
  <c r="B43" i="6"/>
  <c r="E43" i="6" s="1"/>
  <c r="D42" i="6"/>
  <c r="C42" i="6"/>
  <c r="B42" i="6"/>
  <c r="E42" i="6" s="1"/>
  <c r="E41" i="6"/>
  <c r="D41" i="6"/>
  <c r="C41" i="6"/>
  <c r="B41" i="6"/>
  <c r="D35" i="6"/>
  <c r="C35" i="6"/>
  <c r="B35" i="6"/>
  <c r="E35" i="6" s="1"/>
  <c r="D34" i="6"/>
  <c r="C34" i="6"/>
  <c r="B34" i="6"/>
  <c r="E34" i="6" s="1"/>
  <c r="D33" i="6"/>
  <c r="C33" i="6"/>
  <c r="B33" i="6"/>
  <c r="E33" i="6" s="1"/>
  <c r="E32" i="6"/>
  <c r="D32" i="6"/>
  <c r="C32" i="6"/>
  <c r="B32" i="6"/>
  <c r="D31" i="6"/>
  <c r="C31" i="6"/>
  <c r="E31" i="6" s="1"/>
  <c r="B31" i="6"/>
  <c r="D30" i="6"/>
  <c r="C30" i="6"/>
  <c r="B30" i="6"/>
  <c r="E30" i="6" s="1"/>
  <c r="B29" i="6"/>
  <c r="E29" i="6" s="1"/>
  <c r="E23" i="6"/>
  <c r="D23" i="6"/>
  <c r="E22" i="6"/>
  <c r="D22" i="6"/>
  <c r="E21" i="6"/>
  <c r="D21" i="6"/>
  <c r="D20" i="6"/>
  <c r="B20" i="6"/>
  <c r="E20" i="6" s="1"/>
  <c r="D19" i="6"/>
  <c r="B19" i="6"/>
  <c r="E19" i="6" s="1"/>
  <c r="D18" i="6"/>
  <c r="B18" i="6"/>
  <c r="E18" i="6" s="1"/>
  <c r="D17" i="6"/>
  <c r="C17" i="6"/>
  <c r="B17" i="6"/>
  <c r="E17" i="6" s="1"/>
  <c r="E48" i="5"/>
  <c r="B48" i="5"/>
  <c r="E47" i="5"/>
  <c r="B47" i="5"/>
  <c r="B46" i="5"/>
  <c r="E46" i="5" s="1"/>
  <c r="B45" i="5"/>
  <c r="E45" i="5" s="1"/>
  <c r="B44" i="5"/>
  <c r="E44" i="5" s="1"/>
  <c r="B43" i="5"/>
  <c r="E43" i="5" s="1"/>
  <c r="B42" i="5"/>
  <c r="E42" i="5" s="1"/>
  <c r="D36" i="5"/>
  <c r="C36" i="5"/>
  <c r="E36" i="5" s="1"/>
  <c r="B36" i="5"/>
  <c r="E35" i="5"/>
  <c r="D35" i="5"/>
  <c r="C35" i="5"/>
  <c r="B35" i="5"/>
  <c r="D34" i="5"/>
  <c r="C34" i="5"/>
  <c r="B34" i="5"/>
  <c r="E34" i="5" s="1"/>
  <c r="D33" i="5"/>
  <c r="C33" i="5"/>
  <c r="B33" i="5"/>
  <c r="E33" i="5" s="1"/>
  <c r="D32" i="5"/>
  <c r="C32" i="5"/>
  <c r="E32" i="5" s="1"/>
  <c r="B32" i="5"/>
  <c r="E31" i="5"/>
  <c r="D31" i="5"/>
  <c r="C31" i="5"/>
  <c r="B31" i="5"/>
  <c r="D30" i="5"/>
  <c r="C30" i="5"/>
  <c r="B30" i="5"/>
  <c r="E30" i="5" s="1"/>
  <c r="E24" i="5"/>
  <c r="E23" i="5"/>
  <c r="E22" i="5"/>
  <c r="B21" i="5"/>
  <c r="E21" i="5" s="1"/>
  <c r="B20" i="5"/>
  <c r="E20" i="5" s="1"/>
  <c r="E19" i="5"/>
  <c r="B19" i="5"/>
  <c r="D18" i="5"/>
  <c r="C18" i="5"/>
  <c r="B18" i="5"/>
  <c r="E18" i="5" s="1"/>
  <c r="A6" i="4"/>
  <c r="P19" i="3"/>
  <c r="C29" i="2"/>
  <c r="C30" i="2" s="1"/>
  <c r="D29" i="2" s="1"/>
  <c r="E29" i="2" s="1"/>
  <c r="C28" i="2"/>
  <c r="C27" i="2"/>
  <c r="C26" i="2"/>
  <c r="C25" i="2"/>
  <c r="C24" i="2"/>
  <c r="C23" i="2"/>
  <c r="C22" i="2"/>
  <c r="C21" i="2"/>
  <c r="A4" i="1"/>
  <c r="B18" i="9" l="1"/>
</calcChain>
</file>

<file path=xl/sharedStrings.xml><?xml version="1.0" encoding="utf-8"?>
<sst xmlns="http://schemas.openxmlformats.org/spreadsheetml/2006/main" count="730" uniqueCount="492">
  <si>
    <t>Activation Analysis</t>
  </si>
  <si>
    <t xml:space="preserve">Instructions: In Course 1, you learned how to acquire a customer. Now you have driven your prospect to the point of signup, this prospect is handed off from the Growth PM focused on acquisition to Growth PM focused on activation, YOU. </t>
  </si>
  <si>
    <t xml:space="preserve">These tasks will help you understand how to decrease time-to-value and remove friction for users when signing up. After signing up, it's important to activate customers so they experience your value proposition as early as possible, so we must activate users quickly. 
</t>
  </si>
  <si>
    <t>Step 2: Complete Tabs 3 - 8 in order by signing up for Slack: https://slack.com/get-started. These tasks will help you understand how to apply activation theories to guide users from 1-stage to another (signup to engagement) in the Activation model and how to segment audiences and use levers to increase engagement. You are using two different companies (Slack and Productboard) in the project because it will allow you to apply the frameworks, theories, and methods in the classroom to multiple examples, seeing how a GPM at a large and a small scale company address signup flow and activation.</t>
  </si>
  <si>
    <t xml:space="preserve">These tasks will help you understand how to apply activation theories to guide users from 1-stage to another (signup to engagement) in the Activation flow, how to segment audiences and use levers to increase engagement. </t>
  </si>
  <si>
    <t>You are using two different companies (Slack and Productboard) in the project because it will allow you to apply the frameworks, theories, and methods in the classroom to multiple contexts. You will get a feeling for how a GPM at a large and a small scale company address signup flow and activation.</t>
  </si>
  <si>
    <t>Note: If you are unable to or have not used Slack before, imagine a product that is the equivalent to SMS, Messenger, or Whatsapp, but for business use-case. Think of the tools mentioned above as an equivalent if you are unable to think of the moments for Slack.</t>
  </si>
  <si>
    <t>Mark a task completed on Column B after completing each Tab. To help you keep track of what you have completed.</t>
  </si>
  <si>
    <t>Tab</t>
  </si>
  <si>
    <t>Completed?</t>
  </si>
  <si>
    <t>Tasks</t>
  </si>
  <si>
    <t>Signup Flow</t>
  </si>
  <si>
    <t>Measure drop-offs</t>
  </si>
  <si>
    <t>Signup Experiments</t>
  </si>
  <si>
    <t>Understand Product</t>
  </si>
  <si>
    <t>Activation Hypothesis</t>
  </si>
  <si>
    <t>Funnel Analysis</t>
  </si>
  <si>
    <t>Habit Moment and Metric Analysis</t>
  </si>
  <si>
    <t>Aha Moment and Metric Analysis</t>
  </si>
  <si>
    <t>Setup Moment and Metric Analysis</t>
  </si>
  <si>
    <t>Activation Funnel</t>
  </si>
  <si>
    <t>Activation by Segment</t>
  </si>
  <si>
    <t>Segment Analysis</t>
  </si>
  <si>
    <t xml:space="preserve">Scenario: You have been brought onto a project at Productboard to help the company optimize the signup flow. 
 </t>
  </si>
  <si>
    <t>Your task is to analyze each step in the sign up flow that a user would go through.</t>
  </si>
  <si>
    <t>Qualitatively, understand what each step is asking and if it creates any bad friction.</t>
  </si>
  <si>
    <t>Quantitatively, measure the amount of input (click and fields) it takes for the user to complete each step and what the drop-off rates are.</t>
  </si>
  <si>
    <t>Once you understand the existing flow, suggest experiments to reduce drop-offs %. Doing so, you will increase the amount of leads to the top of the funnel.</t>
  </si>
  <si>
    <t>Skill: You should:
(1) Calculate drop-offs at each step of sign up flow
(2) Analyze how to reduce drop-offs (increase the signup completion rate) in the flow
(3) Think on how to get users through the activation funnel
(4) Create experiments using the [ACTION], [OUTCOME], and [THEORY] framework.</t>
  </si>
  <si>
    <t xml:space="preserve">Instructions: Sign Up for the free trial of productboard (https://app.productboard.com/register) to complete in-order, a row-at-a-time, the 9 sign-up steps in Column A. Each screen in the sign up on productboard will equal a row in this sheet. Pause at each screen on signup to complete the analysis on each row in this sheet by filling in the questions in the columns for that step before continuing with your sign up on productboard. Along the way, address the questions and calculations in Row 20 to explain your understanding of friction in each step and suggest experiments to address any frictions. Complete the task 1-row at a time from Row 22 - 29. </t>
  </si>
  <si>
    <t>1. Take the Click Through # and calculate the fields on Column D, E, and F.</t>
  </si>
  <si>
    <t>2. Fill in the # of clicks and fields in Column G and H as you go through each step of the sign up flow.</t>
  </si>
  <si>
    <t>3. In Column M and N, take the CTA directly from the sign-up flow and document the CTA and an explanation of the information that is being asked</t>
  </si>
  <si>
    <t>4. In Column O explain your understanding of the value extracted from the information collected.</t>
  </si>
  <si>
    <t>5. In Column P, Q, and R, reply with a binary yes/no; If no, then explain your reasoning.</t>
  </si>
  <si>
    <t>6. Demonstrate your understanding of good and bad friction in Columns S to V by applying the concept of friction to this specific sign up flow.</t>
  </si>
  <si>
    <t xml:space="preserve">7. In Column W, create a experiment brief using the [ACTION], [OUTCOME], and [THEORY] framework. </t>
  </si>
  <si>
    <t>Cells in Orange have been completed for you as an example. The formulas have been removed.</t>
  </si>
  <si>
    <t>A</t>
  </si>
  <si>
    <t>B</t>
  </si>
  <si>
    <t xml:space="preserve">C </t>
  </si>
  <si>
    <t>D</t>
  </si>
  <si>
    <t>E</t>
  </si>
  <si>
    <t>F</t>
  </si>
  <si>
    <t>G</t>
  </si>
  <si>
    <t xml:space="preserve">H </t>
  </si>
  <si>
    <t>I</t>
  </si>
  <si>
    <t>J</t>
  </si>
  <si>
    <t>K</t>
  </si>
  <si>
    <t>L</t>
  </si>
  <si>
    <t>M</t>
  </si>
  <si>
    <t>N</t>
  </si>
  <si>
    <t>O</t>
  </si>
  <si>
    <t>P</t>
  </si>
  <si>
    <t>Q</t>
  </si>
  <si>
    <t>R</t>
  </si>
  <si>
    <t>S</t>
  </si>
  <si>
    <t>T</t>
  </si>
  <si>
    <t>U</t>
  </si>
  <si>
    <t>V</t>
  </si>
  <si>
    <t>W</t>
  </si>
  <si>
    <t>Step</t>
  </si>
  <si>
    <t>Name</t>
  </si>
  <si>
    <t>Click-through #</t>
  </si>
  <si>
    <t>Click-through %</t>
  </si>
  <si>
    <t>Drop-off % at each step</t>
  </si>
  <si>
    <t>Drop-off % through funnel (starting signup)</t>
  </si>
  <si>
    <t>How many total clicks to get to next step? (including optional fields)</t>
  </si>
  <si>
    <t>How many fields to fill out? (including optional fields)</t>
  </si>
  <si>
    <t>Observations (Personal Notes)</t>
  </si>
  <si>
    <t>What is the Call-To-Action (CTA)?</t>
  </si>
  <si>
    <t>What information is being asked on this step?</t>
  </si>
  <si>
    <t>What do you think this information is used for?</t>
  </si>
  <si>
    <t>Is the action clear? (If not, explain)</t>
  </si>
  <si>
    <t>Do you think this step is located in the correct (most natural) order of the flow? (If not, explain)</t>
  </si>
  <si>
    <t>Is this step necessary? (If not, explain)</t>
  </si>
  <si>
    <t>Is this good friction or bad friction?</t>
  </si>
  <si>
    <t>If bad friction, how can it be addressed?</t>
  </si>
  <si>
    <t>Why might you not want to remove this bad friction?</t>
  </si>
  <si>
    <t>Can the amount of clicks be reduced? If so, how?</t>
  </si>
  <si>
    <t>Experiment Brief</t>
  </si>
  <si>
    <t>Home Page</t>
  </si>
  <si>
    <t>0%%</t>
  </si>
  <si>
    <t>Just a simple home page with 2 call-to-actions (CTAs) above the fold.</t>
  </si>
  <si>
    <t>[Try Now] and [TRY NOW]</t>
  </si>
  <si>
    <t>To start the free trial by clicking the CTA</t>
  </si>
  <si>
    <t>To start the free trial</t>
  </si>
  <si>
    <t>Yes</t>
  </si>
  <si>
    <t>Good</t>
  </si>
  <si>
    <t>--</t>
  </si>
  <si>
    <t>[ACTION] If we run an a/b experiment by changing the copy from "try now" to "start free trial", or "start 14-day trial" [OUTCOME] we can evaluate if there is more click-throughs to the sign-up page [Theory] because the copy will better present that the trial is offered for free, is for 14-days, and does not require a credit card.</t>
  </si>
  <si>
    <t>Free Trial Sign Up</t>
  </si>
  <si>
    <t>Single email field with a clear CTA. High drop-off here (88.98% cumulative) is expected as most visitors are browsing, not signing up.</t>
  </si>
  <si>
    <t>[Get Started / Start Your Free Trial]</t>
  </si>
  <si>
    <t>Email address</t>
  </si>
  <si>
    <t>Account creation and identity verification; used to send the activation email and future product notifications</t>
  </si>
  <si>
    <t>Yes - offer Google/Microsoft SSO to eliminate the email entry step with a single OAuth click</t>
  </si>
  <si>
    <t>[ACTION] Add a Google SSO one-click sign-up option alongside the standard email field. [OUTCOME] SSO reduces entry friction to a single click, eliminating the email field entirely and potentially improving step 2 conversion by 10-15%, recovering users from the 88.98% cumulative drop-off that starts at this step. [THEORY] Because this is the first active user step, any friction reduction here yields the highest leverage across the entire funnel; authenticated Google/Microsoft users bypass password and email confirmation steps entirely.</t>
  </si>
  <si>
    <t>Verification Email</t>
  </si>
  <si>
    <t>Verification email requires leaving the product to check email. Timing of this ask may be premature before the user sees any product value.</t>
  </si>
  <si>
    <t>[Click to Verify Your Email]</t>
  </si>
  <si>
    <t>Email verification link clicked in inbox</t>
  </si>
  <si>
    <t>Security - prevents spam account creation and confirms a valid email address belongs to the user</t>
  </si>
  <si>
    <t>No - verification could be deferred to the 2nd session login when the user has already seen product value</t>
  </si>
  <si>
    <t>No - the verification ask can be deferred to the 2nd session without compromising security</t>
  </si>
  <si>
    <t>Bad</t>
  </si>
  <si>
    <t>Defer email verification to the 2nd session login; trigger the verify prompt only when the user returns</t>
  </si>
  <si>
    <t>Removing it from the initial flow could allow bot accounts and spam trials; verification maintains product data quality and prevents abuse</t>
  </si>
  <si>
    <t>Yes - remove entirely from initial sign-up by deferring to the 2nd session; reduces steps from 9 to 7</t>
  </si>
  <si>
    <t>[ACTION] Move the email verification step from the initial sign-up to the start of the user's 2nd session login. [OUTCOME] Removing steps 3 and 4 from the initial flow could reduce the 2.79% drop-off at step 3 and the 3.13% drop-off at step 4, together recovering an estimated 6% more users into step 5. Combined with step 4 removal, this represents eliminating 2 entire steps and approximately 14% of total clicks in the sign-up conversion rate. [THEORY] Users signing up for the first time are motivated but impatient; requiring email verification before they see any product value creates friction at the highest-motivation moment. Users who return for a 2nd session have already seen value and will tolerate the verification step.</t>
  </si>
  <si>
    <t>Activate account in email</t>
  </si>
  <si>
    <t>A simple click in the email client. Drop-off here may reflect users who did not receive or ignored the verification email.</t>
  </si>
  <si>
    <t>[Activate Your Account]</t>
  </si>
  <si>
    <t>Account activation confirmation via button in email</t>
  </si>
  <si>
    <t>Final confirmation of email ownership; completes the 2-step email verification sequence initiated in step 3</t>
  </si>
  <si>
    <t>No - if step 3 is deferred (per experiment), step 4 is also eliminated from the initial flow</t>
  </si>
  <si>
    <t>No - if the email verification step is deferred to the 2nd session, this activation step is removed simultaneously</t>
  </si>
  <si>
    <t>Bundle removal with step 3: deferring step 3 automatically eliminates step 4 as a separate step</t>
  </si>
  <si>
    <t>Activation link in email is a standard security safeguard that prevents unauthorized account creation using someone else's email</t>
  </si>
  <si>
    <t>Yes - removing step 3 removes step 4 entirely; combined, 2 steps are eliminated by 1 experiment</t>
  </si>
  <si>
    <t>[ACTION] Combine the deferral of steps 3 (verification email) and 4 (activate account) into a single unified experiment: skip both steps during initial sign-up and trigger a single verification prompt at the start of the 2nd session. [OUTCOME] Eliminating steps 3 and 4 reduces the funnel from 9 to 7 active steps, removes 2 clicks, and addresses both the 2.79% drop at step 3 and 3.13% drop at step 4, contributing to recovering approximately 90.0% funnel drop-off by step 4. [THEORY] The double-step email verification sequence (send email → click link → activate) creates redundant friction before the user has experienced any product value; collapsing these into a 2nd session event mirrors how high-converting B2B SaaS products like Notion and Figma handle first-session onboarding.</t>
  </si>
  <si>
    <t>Submit personal info</t>
  </si>
  <si>
    <t>Multiple fields collected simultaneously. Most of this data (company, role) could be enriched via 3rd party tools (e.g., Clearbit) to reduce user effort.</t>
  </si>
  <si>
    <t>[Continue / Next]</t>
  </si>
  <si>
    <t>First name, last name, job title, and company name</t>
  </si>
  <si>
    <t>Sales and marketing segmentation; CRM population for lead qualification and routing; used to personalize onboarding emails</t>
  </si>
  <si>
    <t>No - most fields (company, role) can be obtained via email domain enrichment tools without asking the user</t>
  </si>
  <si>
    <t>Reduce to 1 required field (first name) and auto-enrich company, role, and team size using 3rd party data tools (e.g., Clearbit) based on the email domain</t>
  </si>
  <si>
    <t>Sales team uses role and company data to qualify and route leads; removing all fields risks degrading CRM data quality and sales pipeline accuracy</t>
  </si>
  <si>
    <t>Yes - reduce from 4 fields to 1 (first name only); use data enrichment to auto-populate the rest, reducing clicks from 5 to 2</t>
  </si>
  <si>
    <t>[ACTION] Reduce step 5 from 4 required fields (name, company, role, team size) to 1 field (first name only) and integrate a data enrichment API (e.g., Clearbit) to auto-populate company, role, and industry from the signup email domain. [OUTCOME] This eliminates 3 of 4 fields, reduces step 5 clicks from 5 to 2, and converts bad friction to good by delivering a personalized experience without asking for it. Expected improvement: recover the 1.08% drop-off at step 5 and reduce cumulative fatigue for subsequent steps. [THEORY] B2B SaaS users increasingly resist long sign-up forms; enrichment data is also more accurate than self-reported data, benefiting both the user experience and sales data quality simultaneously.</t>
  </si>
  <si>
    <t>Name your workspace</t>
  </si>
  <si>
    <t>Workspace naming is required for product setup. Good step; could be further streamlined by auto-suggesting the company name from the email domain.</t>
  </si>
  <si>
    <t>[Create Workspace / Continue]</t>
  </si>
  <si>
    <t>Workspace name (the name of the user's organization or team workspace)</t>
  </si>
  <si>
    <t>Sets up the user's dedicated product environment; used for workspace URL, branding, and collaboration space identity</t>
  </si>
  <si>
    <t>Yes - workspace creation is essential for product functionality; without it the collaboration environment cannot exist</t>
  </si>
  <si>
    <t>Yes - pre-populate the workspace name using the company name derived from the user's email domain (e.g., @acme.com → 'Acme') and let the user confirm or edit with a single click</t>
  </si>
  <si>
    <t>[ACTION] Pre-populate the workspace name field with the company name inferred from the user's email domain (e.g., 'johndoe@acme.com' pre-fills 'Acme') so the user confirms rather than creates. [OUTCOME] Converting a creation task to a confirmation task reduces step 6 clicks from 2 to 1 and eliminates blank-slate cognitive load. This could reduce the transition from step 6 to step 7 below the current 13.62% drop-off (the largest single-step drop in the funnel), by removing the hesitation of naming. [THEORY] The workspace naming step currently requires the user to make a decision; pre-filling a plausible name reduces decision fatigue and nudges users to proceed rather than pause.</t>
  </si>
  <si>
    <t>Invite Team</t>
  </si>
  <si>
    <t>Team invite is the key viral loop trigger. Making it skippable but following up via email within 24h could recover the 13.6% drop-off at this step.</t>
  </si>
  <si>
    <t>[Invite Team / Skip for Now]</t>
  </si>
  <si>
    <t>Email addresses of team members to invite to the workspace</t>
  </si>
  <si>
    <t>Drives collaborative activation and viral acquisition; grows the user base through invite-based team growth</t>
  </si>
  <si>
    <t>No - the invite step is important for viral growth but should be skippable; forcing it before the user has seen product value creates the largest drop-off in the funnel</t>
  </si>
  <si>
    <t>Make the invite optional with a clearly visible 'Skip for Now' CTA; trigger a follow-up email within 24h prompting the user to invite teammates after they have experienced their first Aha moment</t>
  </si>
  <si>
    <t>Team invites are the primary viral growth loop; removing or skipping this step could reduce referral acquisition; mandatory invite ensures teams are seeded immediately</t>
  </si>
  <si>
    <t>Yes - allow bulk paste of comma-separated emails or integration with Google Workspace contacts to pre-populate suggested invitees from the user's email contacts</t>
  </si>
  <si>
    <t>[ACTION] Make the invite step optional by adding a prominent 'Skip for Now' button, and send an automated email 24h after sign-up reminding the user to invite teammates once they have seen initial product value. [OUTCOME] This change could recover the 13.62% single-step drop-off between steps 6 and 7 - the largest drop in the funnel - potentially adding back 100+ users per cohort. The 24h follow-up captures invite conversions from users who needed to experience value before committing to inviting their team. [THEORY] Users who are forced to invite teammates before seeing product value are making a social commitment before they are ready; post-Aha-moment invite requests have far higher compliance because the user can speak from experience rather than speculation.</t>
  </si>
  <si>
    <t>Password</t>
  </si>
  <si>
    <t>Password creation is a standard but easily streamlined step. SSO or magic links could eliminate this step entirely.</t>
  </si>
  <si>
    <t>[Set Password / Create Account]</t>
  </si>
  <si>
    <t>Account password</t>
  </si>
  <si>
    <t>Account security and authentication credential for all future logins to the product</t>
  </si>
  <si>
    <t>No - password creation could be bundled with step 2 (email entry) so both authentication factors are collected in one step, or replaced with magic link/SSO</t>
  </si>
  <si>
    <t>Yes - required for account security; however the implementation (dedicated step) is not the only way to collect it</t>
  </si>
  <si>
    <t>Offer passwordless sign-up using magic links (a one-time login URL sent to the verified email) or SSO (Google, Microsoft) as primary options; place password creation as a secondary alternative</t>
  </si>
  <si>
    <t>Passwords are required for non-SSO users and for offline/mobile access; removing the password option entirely would lock out users who cannot use SSO</t>
  </si>
  <si>
    <t>Yes - offer magic link or SSO to eliminate the password creation step entirely for qualifying users; reduces from 2 clicks and 1 field to 0 fields for SSO users</t>
  </si>
  <si>
    <t>[ACTION] Test a passwordless onboarding flow where the primary call-to-action is 'Sign in with Google' or 'Send me a magic link' and the traditional password creation is offered only as a secondary option. [OUTCOME] For users choosing SSO/magic link, this eliminates 1 step, 1 field, and 2 clicks, addressing the 7.82% drop-off at step 8. Over a cohort of 614 users reaching step 8, recovering 7.82% yields approximately 48 additional users completing the funnel. [THEORY] Password creation is a known abandonment trigger in sign-up flows, especially for mobile users; modern authentication alternatives provide equivalent or superior security and reduce the time-to-first-login substantially.</t>
  </si>
  <si>
    <t>Survey</t>
  </si>
  <si>
    <t>Survey collects segmentation data. Reducing to 1 key question and collecting the rest in-product could reduce friction at the final signup step.</t>
  </si>
  <si>
    <t>[Submit / Start Using Productboard]</t>
  </si>
  <si>
    <t>Role/job function, team size, primary use case for Productboard, and key goals</t>
  </si>
  <si>
    <t>User segmentation for personalized onboarding journey and in-app guidance; used by sales/CS for lead qualification and account health scoring</t>
  </si>
  <si>
    <t>No - the survey collects enrichment data that could be gathered progressively in-product via in-app tooltips, usage tracking, and feature adoption signals</t>
  </si>
  <si>
    <t>No - survey data can be inferred from product usage behavior or collected progressively without blocking access to the product</t>
  </si>
  <si>
    <t>Reduce to 1 required question (primary use case) and collect role, team size, and goals via progressive in-product prompts after the user has completed their first key action</t>
  </si>
  <si>
    <t>Onboarding personalization quality depends on this data; without it, the user's first in-product experience will be generic rather than role-tailored; sales also relies on this for lead routing</t>
  </si>
  <si>
    <t>Yes - reduce from 5+ survey clicks to 1 key question; defer remaining questions to in-product moments where they are contextually relevant</t>
  </si>
  <si>
    <t>[ACTION] Reduce step 9 from a 4-question survey to a single required question ('What is your primary use case?') and defer the remaining questions (role, team size, goals) to contextual in-product prompts shown after the user completes their first product action. [OUTCOME] Reducing the survey from 4 to 1 question could eliminate 67% of clicks in this step and recover users from the 7.26% cumulative drop-off at step 9. The step 9 click-through rate is already near 100% (per the data), but removing fatigue here improves the quality of the first in-product experience. [THEORY] Users at step 9 have already invested significant effort across 8 steps; asking for more information before they see the product rewards their patience poorly; collecting data in context (after a product action) yields more accurate responses and higher completion rates.</t>
  </si>
  <si>
    <t>User in-product</t>
  </si>
  <si>
    <t>Average</t>
  </si>
  <si>
    <t>Sum</t>
  </si>
  <si>
    <t>Scenario: The director of PM at Productboard has looked at your analysis of experiments in Tab 1 and wants to better understand how you will implement these experiments, your hypothesis on the impacts, how you will prioritize them, and how you will measure success. Not every experiment needs to be expanded on, so he asks to choose your top 5.</t>
  </si>
  <si>
    <t>Skill: You will implement the ICE framework to prioritize your experiments by giving them a growth score. Note: Further analysis and input from engineering and design does occur in the wild, which is removed from the scope of this exercise.</t>
  </si>
  <si>
    <t>Instructions: Complete the task with 1 row (experiment) at a time.</t>
  </si>
  <si>
    <t xml:space="preserve">1. Use 5 experiments from Tab 1 - Column W and place them into Tab 2 - Column B. </t>
  </si>
  <si>
    <t>2. In column D, elaborate on what is being tested</t>
  </si>
  <si>
    <t>3. In column E, provide a qualitative and quantitative hypothesis of what will happen</t>
  </si>
  <si>
    <t>4. In column F, describe the rationale of why you chose this experiment from any social proof, previous experience, or from any research.</t>
  </si>
  <si>
    <t>5 In column G, provide a list of stakeholders who would need to be involved to release this experiment and why</t>
  </si>
  <si>
    <t>6. In column H, document what more information is needed for you to execute on this experiment and document what assumptions you are making</t>
  </si>
  <si>
    <t>7. In column I, provide a list of metrics that need to be measured in this experiment that would verify if the experiment failed or passed</t>
  </si>
  <si>
    <t>8. In column J, provide a time-frame the experiment should be run for</t>
  </si>
  <si>
    <t>9 In column K, provide a % of users you would want to experiment with</t>
  </si>
  <si>
    <t>10. In column M - P, apply the ICE framework to your experiments</t>
  </si>
  <si>
    <t xml:space="preserve">B </t>
  </si>
  <si>
    <t>C</t>
  </si>
  <si>
    <t>Experiment Brief (from Tab 1)</t>
  </si>
  <si>
    <t>Which Step of Funnel (name and #) does this experiment impact?</t>
  </si>
  <si>
    <t>Describe what in the experiment is being tested?</t>
  </si>
  <si>
    <t>Hypothesis (What do you think will happen qualitatively and quantitatively?)</t>
  </si>
  <si>
    <t>Rationale (Why do you want to try this experiment?)</t>
  </si>
  <si>
    <t>Stakeholders (What other titles in the company needs to be involved? and why?)</t>
  </si>
  <si>
    <t>What more info do you need to decide this is an experiment you want to run? What assumptions are we making?</t>
  </si>
  <si>
    <t>What metrics should be measured?</t>
  </si>
  <si>
    <t>Length of time to run the experiment?</t>
  </si>
  <si>
    <t>What % of sign up users would you want to experiment with?</t>
  </si>
  <si>
    <t>What Friction is being removed?</t>
  </si>
  <si>
    <t>ICE - Impact? (be quantitative)</t>
  </si>
  <si>
    <t>ICE- Confidence</t>
  </si>
  <si>
    <t>ICE- Ease</t>
  </si>
  <si>
    <t>ICE - Growth Score</t>
  </si>
  <si>
    <t>[ACTION] we can remove the top 50% of the step (role, team size, team use) [OUTCOME] so that we can inc the step completion rate from 92% [THEORY] because we would be decreasing 67% of the clicks on this step.</t>
  </si>
  <si>
    <t>9 - survey</t>
  </si>
  <si>
    <t>We would remove the top portion of this step and only include the button. The screen would then only ask the user for bottom step that starts with "what are you hoping productboard will help you do?" The other steps we removed, we can look into tools like Clearbit that will help us collect the same data.</t>
  </si>
  <si>
    <t>We would remove 67% of the clicks and 4 fields from this step. At the moment the conversion on this step is 92%, but I think we can inc it to 95% as a result of this step.</t>
  </si>
  <si>
    <t>We are asking for too many fields at this step and the user is likely exhausted from going through 9 steps. We need to trim the sign up process to only the bare minimum items we need to get the user to the time-to-value as fast as possible.</t>
  </si>
  <si>
    <t>Sales team to determine how they use the survey data. Marketing team to determine how they use the survey data. Design team to create mockups of the new last step. Engineering team to unmap those fields and remove them from the back end, while keeping historical data.</t>
  </si>
  <si>
    <t>How sales uses this data? Is this data used for marketing engagement and onboarding?</t>
  </si>
  <si>
    <t xml:space="preserve">Higher step 9 conversions and higher total conversions of the funnel. </t>
  </si>
  <si>
    <t>2-weeks</t>
  </si>
  <si>
    <t>Collecting additional data that can be obtained for 3rd party resources. Asking for too much data</t>
  </si>
  <si>
    <t>[ACTION] Make the invite step optional with a 'Skip for Now' CTA and send a 24h follow-up email. [OUTCOME] Recover 13.62% single-step drop-off at step 6-to-7, the largest drop in the funnel, potentially adding 100+ users back per cohort. [THEORY] Users invited before experiencing product value are making a commitment they are not yet ready for; post-Aha invites convert at higher rates.</t>
  </si>
  <si>
    <t>7 - Invite Team</t>
  </si>
  <si>
    <t>We will add a clearly visible 'Skip for Now' button on the invite step and trigger an automated follow-up email at 24h post-signup reminding the user to invite teammates after their first product session.</t>
  </si>
  <si>
    <t>We hypothesize that making the invite step optional will recover the 13.62% of users who currently drop off between steps 6 and 7, while the 24h follow-up email will convert at least 30-40% of skipped invite steps into eventual team invites, maintaining the viral growth loop without forcing it at the point of highest resistance.</t>
  </si>
  <si>
    <t>Step 7 has the largest single-step drop-off in the entire funnel (13.62%). Users forced to make a social commitment (inviting colleagues) before seeing product value are likely abandoning due to hesitation. Deferring this ask to post-Aha timing is standard best practice for B2B SaaS products.</t>
  </si>
  <si>
    <t>Product Manager: experiment design and success metrics. Engineering: implement skip button and follow-up email trigger. Marketing: design and write the follow-up email sequence. Sales: assess impact on team-seeded pipeline vs. solo accounts.</t>
  </si>
  <si>
    <t>How does the 24h follow-up email conversion rate compare to the in-flow invite conversion? Does skipping invites in the initial flow affect long-term team size or retention? We assume that users who skip will receive the follow-up email and will have experienced at least one Aha moment by then.</t>
  </si>
  <si>
    <t>Primary: Step 7 conversion rate (skip vs. complete). Secondary: Overall funnel conversion rate (step 1 to step 10). Tertiary: Team invite completion rate within 7 days of signup. Long-term: 30-day retention and team size by cohort.</t>
  </si>
  <si>
    <t>4 weeks</t>
  </si>
  <si>
    <t>Mandatory social commitment (inviting teammates) before user has experienced product value creates the highest point of friction in the funnel.</t>
  </si>
  <si>
    <t>[ACTION] Defer email verification (steps 3+4) to the 2nd login session instead of the initial sign-up. [OUTCOME] Eliminate 2 steps, remove 2 clicks, and recover the combined 5.9% drop-off across steps 3 and 4 (2.79% + 3.13%). [THEORY] Users who return for a 2nd session have shown intent; they tolerate verification friction better than first-time visitors still evaluating the product.</t>
  </si>
  <si>
    <t>3 - Verification Email / 4 - Activate Account</t>
  </si>
  <si>
    <t>We will remove the email verification email (step 3) and the activation click (step 4) from the initial signup flow, allowing users to access the product immediately after providing their email. A verification prompt will appear at the start of the user's 2nd session login.</t>
  </si>
  <si>
    <t>By eliminating steps 3 and 4 from the initial flow, we expect to recover the combined 5.92% drop-off (2.79% at step 3 + 3.13% at step 4), which equates to approximately 45 additional users per cohort of 7,640 progressing from step 2 to step 5. The 2nd session verification should convert at 80%+ because returning users are motivated and have seen product value.</t>
  </si>
  <si>
    <t>Email verification creates an interruption in the sign-up momentum by requiring users to leave the product and check their inbox before they have seen any product value. Productboard's drop-off data confirms that verification is a friction point. Deferring it matches how high-growth products (Notion, Figma, Loom) handle early activation - value first, verification later.</t>
  </si>
  <si>
    <t>Security/Engineering: evaluate risk tolerance for allowing unverified email access; implement session-based verification gate. Product Manager: define what product features are accessible before verification. Legal/Compliance: confirm that deferred verification meets any applicable data or security requirements.</t>
  </si>
  <si>
    <t>What is the security risk of allowing unverified users to access the product? Is there a meaningful difference in product engagement between verified and unverified users in the 1st session? We assume the engineering team can implement a session gate that blocks advanced features (e.g., inviting teammates) until verification is complete.</t>
  </si>
  <si>
    <t>Primary: Combined step 3+4 drop-off rate (current 5.92% → target &lt;2%). Secondary: 2nd session verification completion rate. Tertiary: Overall funnel conversion rate improvement. Long-term: 30-day activation rate for cohort vs. control.</t>
  </si>
  <si>
    <t>3 weeks</t>
  </si>
  <si>
    <t>Email verification interrupts sign-up momentum before the user has seen any product value, causing 2 unnecessary exit points in the funnel.</t>
  </si>
  <si>
    <t>[ACTION] Reduce step 5 from 4 fields to 1 (first name) and use Clearbit data enrichment to auto-populate company, role, and team size from the email domain. [OUTCOME] Eliminate 3 of 4 fields, reduce clicks from 5 to 2, and reduce the 1.08% drop-off at step 5. Enriched data is also more accurate than self-reported. [THEORY] Users resist long forms; progressive data collection via enrichment yields better data quality and better UX simultaneously.</t>
  </si>
  <si>
    <t>5 - Submit Personal Info</t>
  </si>
  <si>
    <t>We will reduce the step 5 form from 4 required fields (first name, last name, company name, job title) to 1 required field (first name). A Clearbit Enrichment API call will auto-populate company name, industry, and role using the user's work email domain immediately after step 2.</t>
  </si>
  <si>
    <t>Reducing from 4 fields to 1 is expected to lower the step 5 completion time by 75%, reducing drop-off at this step from its current near-zero level while also reducing cumulative form fatigue that may be contributing to the 13.62% drop at step 7. Enriched data is also expected to improve CRM lead scoring accuracy by 15-20% compared to self-reported data.</t>
  </si>
  <si>
    <t>Asking users for 4 fields of personal information mid-sign-up is a friction pattern that B2B SaaS companies have increasingly moved away from. Clearbit and similar enrichment tools can provide company size, industry, and role with 80-90% accuracy from a work email, reducing user effort while maintaining or improving the data quality the sales team requires.</t>
  </si>
  <si>
    <t>Engineering: integrate Clearbit API. Sales Operations: validate enriched data quality vs. current self-reported; update lead qualification logic. Marketing: confirm that enriched data covers their segmentation needs. Privacy/Legal: review Clearbit data usage compliance.</t>
  </si>
  <si>
    <t>What percentage of users have work emails that yield valid Clearbit enrichment (vs. Gmail, Hotmail etc.)? What is the fallback experience for users whose email domain is not in Clearbit? We assume at least 60% of Productboard free trial signups use work email domains that can be enriched.</t>
  </si>
  <si>
    <t>Primary: Step 5 form completion rate and average completion time. Secondary: Sales-reported CRM data completeness and quality score. Tertiary: Funnel conversion rate from step 5 onward. Long-term: Lead-to-opportunity conversion rate for enriched vs. non-enriched records.</t>
  </si>
  <si>
    <t>Requesting 4 personal information fields mid-sign-up creates unnecessary friction; the same data can be obtained with higher accuracy via email domain enrichment.</t>
  </si>
  <si>
    <t>[ACTION] Pre-populate the workspace name field with the company name inferred from the user's email domain so users confirm rather than create. [OUTCOME] Reduces step 6 from a creation task to a 1-click confirmation, addressing decision fatigue leading into the highest-drop step 7 (13.62%). [THEORY] Pre-filling plausible defaults nudges users toward continuation; the workspace naming decision is a micro-friction that amplifies downstream abandonment.</t>
  </si>
  <si>
    <t>6 - Name Your Workspace</t>
  </si>
  <si>
    <t>We will use the email domain (e.g., johndoe@acme.com) to pre-populate the workspace name field with the company name (e.g., 'Acme') using a company lookup or enrichment API. The user can confirm with one click or edit the name before proceeding.</t>
  </si>
  <si>
    <t>Converting step 6 from a blank-state creation task to a pre-filled confirmation reduces decision friction. We expect step 6 completion time to decrease by 60% and the step 6-to-7 transition to slightly improve. Combined with the invite-skipping experiment at step 7, reducing micro-friction at step 6 could meaningfully reduce the 13.62% drop-off between steps 6 and 7.</t>
  </si>
  <si>
    <t>Workspace naming is a blocking task that requires the user to make a product decision before seeing any product experience. Pre-filling a plausible name based on the email domain is low-risk (the user can always edit it) and eliminates the cognitive overhead of naming from scratch, which is disproportionately difficult for users who are still evaluating the product.</t>
  </si>
  <si>
    <t>Engineering: integrate company name lookup from email domain (Clearbit or internal lookup). Product Manager: define fallback for non-resolvable domains (e.g., personal email). UX/Design: update the step 6 UI to show pre-filled name with an edit affordance.</t>
  </si>
  <si>
    <t>What percentage of users have email domains that can resolve to a company name? What is the user experience for personal email users (Gmail, Yahoo) who cannot be matched to a company? We assume the engineering team already has a company lookup capability from the step 5 enrichment experiment.</t>
  </si>
  <si>
    <t>Primary: Step 6 completion time reduction (pre-filled vs. blank). Secondary: Step 6-to-7 transition rate. Tertiary: Workspace name edit rate (validates whether pre-filled name is accepted or rejected). Long-term: No degradation in team collaboration setup completion.</t>
  </si>
  <si>
    <t>2 weeks</t>
  </si>
  <si>
    <t>Blank-state workspace naming creates a micro-decision that users are not ready to make mid-sign-up; pre-filling removes this friction point entirely.</t>
  </si>
  <si>
    <t>Scenario: After doing such an amazing job for Productboard with signup, you have now been brought onto a project at Slack. Slack's revenues have been decreasing by 5% and leadership believes it's an activation problem due to not understanding what we should be guiding our users to-do in our product when the user is signing up.</t>
  </si>
  <si>
    <t>You've been tasked to define a more robust activation funnel to achieve shorter time-to-value, product usage, and revenue. You will 
(1) be able to tell Marketing and the Growth PM focusing on acquisition which segment of our users are performing these actions best and 
(2) determine what moments and metrics we should be driving our users towards. NOTE: The rest of the project relates entirely to Slack or a realtime messaging service like Slack.</t>
  </si>
  <si>
    <t>You will 
(1) be able to tell Marketing and Growth PM focusing on acquisition which segment of our users are performing these actions best
(2) determine what moments and metrics we should be driving our users towards. 
NOTE: The rest of the project relates entirely to Slack or a realtime messaging service like Slack.</t>
  </si>
  <si>
    <t xml:space="preserve">Skill: Before doing any analysis, you want to start off with a hypothesis. Before you quantitatively measure the activation funnel, define your understanding of the product by creating a hypothesis of what the Habit, Aha, and Setup moments are for Slack. </t>
  </si>
  <si>
    <t xml:space="preserve">After signing up for Slack, determine what actions in the product and marketing messages the user is driven to. From the actions you are driven to as a new user, determine which actions are leading you to an aha moment to see value of the product or setup moment that are leading you to properly setup your account. </t>
  </si>
  <si>
    <t xml:space="preserve">An example of an Setup Moment is that they market themselves as a replacement of Email on their marketing website, so when you start using the product, they likely get you to take action via Slack what you would normally do via email. </t>
  </si>
  <si>
    <t>An example of Aha Moment is that they get you to engage with the Slackbot or your college, so you can engaging with others, weather that is a human, bots, or other 3rd party services to see value of the tool.</t>
  </si>
  <si>
    <t>Create a hypothesis of what the habit, aha, and setup moments should be for Slack. (Note: this is only for data-dump and for critical thinking.)</t>
  </si>
  <si>
    <t>The answers here are hypothesis based on your experience of starting to use Slack. In addition to creating a new account on Slack, browse through their features page to spark ideas of potential aha moments: https://slack.com/features.</t>
  </si>
  <si>
    <t>1. List 4 in-product moments you think that if done often would lead a Slack user to build a habit in Row 18-21</t>
  </si>
  <si>
    <t>2. List 4 aha moments in-product that you think if reached, seen, or experienced would get a user to understand the value provided by Slack in Row 15-19</t>
  </si>
  <si>
    <t>2. List 4 aha moments in-product that you think if reached, seen, or experienced would get a user to understand the value provided by Slack in Row 31-34.</t>
  </si>
  <si>
    <t>Moment that lead to Habit:</t>
  </si>
  <si>
    <t>Only use Slack, not email, for internal messages</t>
  </si>
  <si>
    <t>Sending or receiving 10+ messages across Slack channels in a single workday</t>
  </si>
  <si>
    <t>Responding to an @mention notification within 30 minutes of receiving it</t>
  </si>
  <si>
    <t>Creating or joining a new channel dedicated to a specific project or topic</t>
  </si>
  <si>
    <t>Using Slack for at least 5 consecutive workdays instead of email for team conversations</t>
  </si>
  <si>
    <t>Moment that lead to Aha:</t>
  </si>
  <si>
    <t>Getting notifications from team on a group channel</t>
  </si>
  <si>
    <t>Seeing a teammate reply in real-time in a shared channel within seconds of posting</t>
  </si>
  <si>
    <t>Successfully sharing a file and receiving a comment or reaction from a colleague immediately</t>
  </si>
  <si>
    <t>Discovering a channel with ongoing project discussions that resolves a question they had</t>
  </si>
  <si>
    <t>Receiving a contextual @mention notification that helps them unblock a task without sending an email</t>
  </si>
  <si>
    <t>Moment that lead to Setup:</t>
  </si>
  <si>
    <t>Engage in a frequency faster than email while being mobile</t>
  </si>
  <si>
    <t>Importing or finding contacts to see colleagues already on Slack suggested as connections</t>
  </si>
  <si>
    <t>Connecting a third-party app (e.g., Google Drive, GitHub, Jira) to a Slack channel</t>
  </si>
  <si>
    <t>Customizing notification preferences to receive alerts only for direct @mentions</t>
  </si>
  <si>
    <t>Setting up a dedicated project channel and inviting all relevant team members to it</t>
  </si>
  <si>
    <t xml:space="preserve">Scenario: The VP of Product took your team's hypothesis and narrowed down them down to 3 moments and 3 metrics each fro Habit, Aha, and Setup analysis. The ones provided could include your hypothesis from Tab 3, but if they do not, that does not mean yours hypothesis is not valid. With the VP's experience, he is simply able to narrow down the list for us. </t>
  </si>
  <si>
    <t xml:space="preserve">You need to conduct an analysis on what habit moments and metrics drive users to long-term activation. 
Remember: Long-term activation would be defined by the metric with the highest % overlap curve. </t>
  </si>
  <si>
    <t>The habit, aha, and setup moments will be shared across next three tabs one for each moment. 
In this tab, you will analyze just habit moments/metrics and determine whether each of these 3 habit moments affect activation. This is important to know because then we can tailor our product to include the features that allow our users to achieve activation faster. 3 Habit Moments and 3 Habit Metrics are pre-selected for you along with users who completed actions and retained for each of the 3 moments.</t>
  </si>
  <si>
    <t>Habit 1 analysis is on row 18-20, habit 2 analysis is on row 30-36, and habit 3 analysis is on row 42-48.</t>
  </si>
  <si>
    <t>Skills: 
(1) calculate % overlap to measure the relationship of % overlap to habit metric
(2) create line charts to visualize the relationship of the metric
(3) analyze which are the primary habit moments and metric that lead to long-term activation.</t>
  </si>
  <si>
    <t>Instructions: Place any notes, thoughts, comments in the "Observations (Personal Notes)" box in column M -O for yourself as you may want them in the future</t>
  </si>
  <si>
    <t xml:space="preserve">1. Calculate the % overlap for each moment in Column F, </t>
  </si>
  <si>
    <t xml:space="preserve">2. Create a line-graph for each moment in Column H-K to visualize the % Overlap from Column F vs Habit Metric from column A, </t>
  </si>
  <si>
    <t>3. Analyze the data for each moment to determine if based on your analysis, this moment leads to long-term activation or not, and share your reasoning in Column Q - S</t>
  </si>
  <si>
    <t>4. Once Steps 1 - 3 are completed, determine which of the 3 options would the Primary Habit Moment and Metric and explain why in the 2 boxes on the bottom right of this Tab in Row  51.</t>
  </si>
  <si>
    <t xml:space="preserve">Habit Moment 1: look for a communication tool outside of email to engage with teammates                                        </t>
  </si>
  <si>
    <t>Habit Metric 1: # of Team Slack Messages Sent in 7-days</t>
  </si>
  <si>
    <t>Does doing this Habit Metric affect activation? If yes, what is the ideal metric?</t>
  </si>
  <si>
    <t># of</t>
  </si>
  <si>
    <t>User</t>
  </si>
  <si>
    <t>Messages Sent</t>
  </si>
  <si>
    <t>Action Completed</t>
  </si>
  <si>
    <t>Retained + Action NOT completed</t>
  </si>
  <si>
    <t>Retained + Action completed</t>
  </si>
  <si>
    <t>Total Users</t>
  </si>
  <si>
    <t>% Overlap</t>
  </si>
  <si>
    <t>Why?</t>
  </si>
  <si>
    <t xml:space="preserve">Habit Moment 2: Only use Slack for internal messages, not email                                        </t>
  </si>
  <si>
    <t>Habit Metric 2: # of sessions (log-ins) per day</t>
  </si>
  <si>
    <t>Session</t>
  </si>
  <si>
    <t>(log-ins)</t>
  </si>
  <si>
    <t>1+</t>
  </si>
  <si>
    <t>2+</t>
  </si>
  <si>
    <t>3+</t>
  </si>
  <si>
    <t>4+</t>
  </si>
  <si>
    <t>5+</t>
  </si>
  <si>
    <t>6+</t>
  </si>
  <si>
    <t>7+</t>
  </si>
  <si>
    <t xml:space="preserve">Habit Moment 3: Checking a notification when something is addressed to me                      </t>
  </si>
  <si>
    <t>Habit Metric 3: # of messages they were linked to (with an @) that brought them back to Slack</t>
  </si>
  <si>
    <t>Messages</t>
  </si>
  <si>
    <t>Moment</t>
  </si>
  <si>
    <t>Metric</t>
  </si>
  <si>
    <t>What is the best Primary Habit Moment and Metric to select for Slack? (hint: what did you confirm as a Habit Action in this exercise and which action had the highest overlap - probability to positively affect activation)</t>
  </si>
  <si>
    <t>Habit Moment 1: Looking for a communication tool outside of email to engage with team in Slack</t>
  </si>
  <si>
    <t>Habit Metric 1: # of Team Slack Messages Sent in 7-days; Target: 2,000+ messages in 7 days</t>
  </si>
  <si>
    <t>Without using the data analysis, why do you think that this Habit would be the best for Slack?</t>
  </si>
  <si>
    <t>Habit Moment 1 (# of team Slack messages sent in 7-days) should be the primary habit moment because it shows the clearest and most consistent positive relationship between message volume and activation. At the 1,000-2,000 message threshold, the % overlap reaches 0.48-0.55, indicating that users sending at least 1,000 messages per week are activating at over 50% rates. Moment 3 (@mentions) shows a flat, lower % overlap curve (~0.43-0.47) with no inflection point, suggesting it does not differentiate activated from non-activated users. Moment 2 (sessions/day) has a positive trend but plateaus early and at a lower ceiling (~0.45) compared to Moment 1 (~0.58 at 20K messages). Moment 1 also directly measures the core behavior that defines Slack usage: communication volume, which is the most actionable habit to drive in onboarding because it can be influenced by prompts, channels, and team invites.</t>
  </si>
  <si>
    <t xml:space="preserve">Scenario: The VP of Product took your team's hypothesies and narrowed down them down to 3 moments and 3 metrics each fro Habit, Aha, and Setup analysis. The ones provided could include your hypothesis from Tab 3, but if they do not, that does not mean yours hypothesis is not valid. With the VP's experience, he is simply able to narrow down the list for us. </t>
  </si>
  <si>
    <t>The habit, aha, and setup moments will be shared across next three tabs one for each moment. 
In this tab, you will analyze just Aha moments/metrics and determine whether each of these 3 habit moments affect activation. This is important to know because then we can tailor our product to include the features that allow our users to achieve activation faster. 3 Aha Moments and 3 Aha Metrics are pre-selected for you along with users who completed actions and retained for each of the 3 moments.</t>
  </si>
  <si>
    <t>Skill: From these tasks, you can apply your knowledge on how to (1) calculate % overlap to measure the relationship of % overlap to Aha metric, (2) create line charts to visualize the relationship of the metric and (3) analyze which are the primary Aha moments and metric that lead to long-term activation.</t>
  </si>
  <si>
    <t>Instructions: Place any notes, thoughts, comments in the "Observations (Personal Notes)" box in column M - O for yourself to view in the future.</t>
  </si>
  <si>
    <t xml:space="preserve">2. Create a line-graph for each moment in Column H-K to visualize the % Overlap from Column F vs aha Metric from column A, </t>
  </si>
  <si>
    <t>4. Once Steps 1 - 3 are completed, determine which of the 3 options would the Primary aha Moment and Metric and explain why in the 2 boxes on the bottom right of this Tab in Row 50.</t>
  </si>
  <si>
    <t>Aha Moment 1: Engaging with a message in a group channel</t>
  </si>
  <si>
    <t>Aha Metric 1: Sending 1st message in a group channel within X days</t>
  </si>
  <si>
    <t>Does doing this Aha Metric affect activation? If yes, what is the ideal metric?</t>
  </si>
  <si>
    <t xml:space="preserve"># of </t>
  </si>
  <si>
    <t>Days Taken</t>
  </si>
  <si>
    <t>Aha Moment 2: Messaging with a team member on a direct channel</t>
  </si>
  <si>
    <t xml:space="preserve">Aha Metric 2: sends 1st direct message within X days </t>
  </si>
  <si>
    <t>Aha Moment 3: Searching for old documents, links, and convos</t>
  </si>
  <si>
    <t>Aha Metric 3: 1st search for a file or message within X days</t>
  </si>
  <si>
    <t>What is the best Primary Aha Moment and Metric to select for Slack? (hint: what did you confirm as a Aha Action in this exercise and which action had the highest overlap - probability to positively affect activation)</t>
  </si>
  <si>
    <t>Aha Metric 1: Sending 1st message in a group channel within 1 day of signup</t>
  </si>
  <si>
    <t>Without using the data analysis, why do you think that this Aha would be the best for Slack?</t>
  </si>
  <si>
    <t>Aha Moment 1 (sending first group channel message within X days) is the primary Aha moment because it has the highest % overlap at the earliest time threshold: users who send their first group channel message within 1 day have an 83% overlap rate, the highest of any metric in the entire analysis. The steep decline in % overlap as days increase (0.83 at day 1 → 0.32 at day 7+) confirms that the sooner a user engages with a group channel, the more likely they are to be a retained and activated user. This strong time-sensitivity makes it an actionable Aha moment: onboarding flows should drive users to send their first group message within their first session. By contrast, Moment 2 (first direct message) starts at 0.61 - still meaningful but significantly lower, and Moment 3 (first search) starts at only 0.42, indicating it is a lagging indicator of engagement rather than a leading one. The group channel is also the product feature most aligned with Slack's core value proposition: team communication at scale.</t>
  </si>
  <si>
    <t>The habit, Setup, and setup moments will be shared across next three tabs one for each moment. 
In this tab, you will analyze just Setup moments/metrics and determine whether each of these 3 habit moments affect activation. This is important to know because then we can tailor our product to include the features that allow our users to achieve activation faster. 3 Setup Moments and 3 Setup Metrics are pre-selected for you along with users who completed actions and retained for each of the 3 moments.</t>
  </si>
  <si>
    <t>Skill: From these tasks, you can apply your knowledge on how to 
(1) calculate % overlap to measure the relationship of % overlap to setup metric
(2) create line charts to visualize the relationship of the metric
(3) analyze which are the primary setup moments and metric that lead to long-term activation.</t>
  </si>
  <si>
    <t xml:space="preserve">2. Create a line-graph for each moment in Column H-K to visualize the % Overlap from Column F vs setup Metric from column A, </t>
  </si>
  <si>
    <t>4. Once Steps 1 - 3 are completed, determine which of the 3 options would the Primary setup Moment and Metric and explain why in the 2 boxes on the bottom right of this Tab in Row 50.</t>
  </si>
  <si>
    <t>Setup Moment 1: Configure settings and profile</t>
  </si>
  <si>
    <t>Setup Metric 1: Setting up profile pic within X days</t>
  </si>
  <si>
    <t>Does doing this Setup Metric affect activation? If yes, what is the ideal metric?</t>
  </si>
  <si>
    <t>Setup Moment 2: Integrate to a 3rd party Slack App</t>
  </si>
  <si>
    <t>Setup Metric 2: Integrate to a 3rd party app within 7-days</t>
  </si>
  <si>
    <t>Setup Moment 3: Invite a team mate and had a back-and-forth direct convo</t>
  </si>
  <si>
    <t>Setup Metric 3: # of users invited within 7-days</t>
  </si>
  <si>
    <t>Users Invited</t>
  </si>
  <si>
    <t>What is the best Primary Setup Moment and Metric to select for Slack? (hint: what did you confirm as a Aha Action in this exercise and which action had the highest overlap - probability to positively affect activation)</t>
  </si>
  <si>
    <t>Setup Moment 3: Invite a teammate and have a back-and-forth direct conversation</t>
  </si>
  <si>
    <t>Setup Metric 3: # of users invited within 7 days of signup; Target: 1+ user invited within 3 days</t>
  </si>
  <si>
    <t>Without using the data analysis, why do you think that this Setup would be the best for Slack?</t>
  </si>
  <si>
    <t>Setup Moment 3 (inviting a teammate and having a back-and-forth conversation) is the primary setup moment because it has the highest % overlap at the 1-user-invited threshold (0.70), significantly outperforming Moment 2 (3rd party app integration, 0.57) and Moment 1 (profile picture, 0.39). The sharp decline in Moment 3's % overlap after day 3 (0.70 at day 1 → 0.51 at day 4 → 0.29 at day 7+) confirms that inviting a teammate early is a critical time-sensitive setup action: users who invite within 3 days of signup are more than twice as likely to become activated compared to those who never invite. This makes intuitive sense because Slack's entire value proposition is team communication - a user who has never invited a teammate cannot experience the product's core value. Moment 1 (profile picture) has the lowest peak overlap (0.39) and a declining trend, suggesting it is a cosmetic setup action that does not drive activation. Moment 3 directly creates the social network effect that makes Slack sticky: once a user has a teammate on the platform, they have a reason to return.</t>
  </si>
  <si>
    <t>Suggested Experiments from Tab 3</t>
  </si>
  <si>
    <t xml:space="preserve">Scenario: You have been brought onto a project at Slack to help define the activation funnel. </t>
  </si>
  <si>
    <t>On this tab, you will be putting all the analysis you've done in previous 3 tabs together. From the 3 previous tabs, you should have identified the primary habit, aha, and signup moment that most influenced activation.</t>
  </si>
  <si>
    <t>Skill: You have determined that many moments and metrics can lead users to activate, but there are only a few Primary moments and metrics that we should drive users towards as they lead to long-term activation.</t>
  </si>
  <si>
    <t>Instructions: Compare your hypothesis from Tab 3- Activation Hyopthesis against the post-analysis activation funnel in Tab 7. Please add your thoughts Column C.</t>
  </si>
  <si>
    <t xml:space="preserve">1. Your Habit moments and metrics (They should appear here from the relevant tabs, if they do not, please copy them here) for your to reflect on are in A11 and B11                                                </t>
  </si>
  <si>
    <t>2. Your Aha moments and metrics (They should appear here from the relevant tabs, if they do not, please copy them here) for your to reflect on are in A11 and B12</t>
  </si>
  <si>
    <t>3. Your Setup moments and metrics (They should appear here from the relevant tabs, if they do not, please copy them here) for your to reflect on are in A11 and B13</t>
  </si>
  <si>
    <t>Cells  in orange have been done for you.</t>
  </si>
  <si>
    <t>Metrics that lead to Habit:</t>
  </si>
  <si>
    <t>Observations/Reflections on Hypothesis</t>
  </si>
  <si>
    <t>Metrics that lead to Aha:</t>
  </si>
  <si>
    <t>Moments that lead to Signup:</t>
  </si>
  <si>
    <t>Metrics that lead to Signup:</t>
  </si>
  <si>
    <t xml:space="preserve">Scenario: Now that you have determined one of Slack's Habit, Aha, and Setup moments, you have been asked by the VP of Product to segment our users through the activation funnel. He requests you share with marketing any findings on what users are performing well, not well, and what areas can be improved on. </t>
  </si>
  <si>
    <t xml:space="preserve">The findings will help marketing team focus on Ideal Customer Profiles (ICPs), so they know where to invest for Acquisition. The activation funnel has already been applied to these segments and your goal is to see analyze delta between the funnel and how many users make it through the funnel. </t>
  </si>
  <si>
    <t xml:space="preserve">Remember: The delta is the percentage of users that make it from one stage of the funnel to the next to ultimately tell us what percent of our acquired users go through all stages of funnel to achieve activation. </t>
  </si>
  <si>
    <t>Once your conduct this analysis, you can then create experiments on how to convert more users through each step in the Setup, Aha, and Habit moments. The goal for Slack is to get more users through the funnel so we have more users and  a higer % of users that become activated.</t>
  </si>
  <si>
    <t xml:space="preserve">Skill: Analyze how different segments flow through the activation funnel by determining the # and % of users activated per segment. </t>
  </si>
  <si>
    <t xml:space="preserve">Instructions: Conduct each segment analysis in order: 
Industry (Row 8 - 28)
Company Size (Row 30 -50)
Account Size (Row 52 - 71)
Source (Row 73 - 90). </t>
  </si>
  <si>
    <t xml:space="preserve">Place any notes, thoughts, comments in the "Observations (Personal Notes)" box for yourself to view in the future - these will not be graded. </t>
  </si>
  <si>
    <t>In your text-based analysis, your goal is to increase the total average % you calculate in row 31, 53, 74, and 93 across each segment. To determine what is a good threshold of % of users activated that is good enough vs.needs more support, compare the % users activated for each segmen to the average for that segment.</t>
  </si>
  <si>
    <t xml:space="preserve">1. Calculate the Delta (Setup to Aha) ratio in Column D                                                   </t>
  </si>
  <si>
    <t xml:space="preserve">2. Calculate Delta (Aha to Habit) ratio in Column F,                                                  </t>
  </si>
  <si>
    <t xml:space="preserve">3. Calculate # of users activated in Column H,                                                       </t>
  </si>
  <si>
    <t>4. % of Users Activated in Column I,</t>
  </si>
  <si>
    <t>5. Address questions (located below each segment) regarding what segment has the best/worst activation funnel and create an experiment l to focus effort on a specific segment funnel. Use the [Action], [Outcome], and [Theory] Framework.</t>
  </si>
  <si>
    <t>Cells colored in Blue have ben completed as examples for you. The formulas have been removed.</t>
  </si>
  <si>
    <t>Segment Analysis by Industry for June 2019</t>
  </si>
  <si>
    <t>Industry</t>
  </si>
  <si>
    <t>New Users Acquired</t>
  </si>
  <si>
    <t># of Users activated</t>
  </si>
  <si>
    <t>% of Users Activated</t>
  </si>
  <si>
    <t>Total</t>
  </si>
  <si>
    <t>Setup Moment</t>
  </si>
  <si>
    <t>Delta (Setup to Aha)</t>
  </si>
  <si>
    <t>Aha Moment</t>
  </si>
  <si>
    <t>Delta (Aha to Habit)</t>
  </si>
  <si>
    <t>Habit Moment</t>
  </si>
  <si>
    <t>Technology</t>
  </si>
  <si>
    <t xml:space="preserve">Retail </t>
  </si>
  <si>
    <t>Healthcare</t>
  </si>
  <si>
    <t>Financial Services</t>
  </si>
  <si>
    <t>Manufacturing</t>
  </si>
  <si>
    <t>Consume Goods</t>
  </si>
  <si>
    <t>Transportation</t>
  </si>
  <si>
    <t>Oil and Gas</t>
  </si>
  <si>
    <t>What industry has the best activation Funnel? Why?</t>
  </si>
  <si>
    <t>What industry has the worst activation Funnel? Why?</t>
  </si>
  <si>
    <t>What would you want to report to Marketing?</t>
  </si>
  <si>
    <t>Experiment Brief using Action, Outcome, Theory  (Select 1 moments to improve)</t>
  </si>
  <si>
    <t>Technology has the best activation funnel with 45% of users activated (the highest of all industries). The Technology segment benefits from the highest Setup moment conversion (85%) and strong Aha and Habit moment transitions (Delta Setup-to-Aha: 92%, Delta Aha-to-Habit: 87%). This is expected: Slack is a tech-native product and technology companies have cultures and workflows that naturally align with real-time digital communication tools. Technology users are also more likely to have prior experience with similar tools, reducing the learning curve.</t>
  </si>
  <si>
    <t>Oil and Gas has the worst activation funnel with only approximately 26.5% of users activated. This industry has the lowest Setup moment conversion (69%), which compounds through Aha (64%) and Habit (60%) moments to produce the smallest absolute number of activated users (approximately 5 per cohort of 19.2 acquired users). Oil and Gas represents industrial, field-based, and asset-heavy workplaces where digital collaboration tools face structural barriers: limited mobile access, shift-based schedules, and organizational cultures that rely on existing communication systems (radio, shift logs, email). The small user base in this segment also suggests it is not a priority ICP for Slack.</t>
  </si>
  <si>
    <t>Marketing should focus acquisition investment on Technology (45% activated) and Healthcare (42.56% activated) as the two highest-converting ICPs. Healthcare is a surprising strong performer - nearly matching Technology activation despite being a traditionally less tech-forward industry. Healthcare organizations appear to use Slack for care coordination, clinical team communication, and compliance workflows where structured, searchable messaging has high value. Financial Services (31.46%) also represents a significant opportunity given the large number of potential users. Marketing should de-prioritize Oil and Gas and Transportation (22.44%) given their structural barriers to digital collaboration adoption and small addressable segments in this cohort.</t>
  </si>
  <si>
    <t>[ACTION] Run a targeted in-product onboarding experiment for Healthcare segment users that emphasizes care coordination use cases (patient handoffs, shift changes, clinical team channels) and highlights HIPAA-compliant messaging features in the first session. [OUTCOME] We expect Healthcare activation to improve from 42.56% to 47%+, adding approximately 6 additional activated users per cohort of 137.6 acquired Healthcare users. Technology users are already activating well (45%); Healthcare is the next highest-potential segment with room to grow by addressing the specific use case vocabulary that resonates with clinical and operational staff. [THEORY] Healthcare users have high activation potential but may be exiting before the Habit moment (Delta Aha-to-Habit: 92%) because their onboarding experience uses generic product language rather than healthcare workflow language; personalized use-case messaging has been shown to increase feature adoption in regulated industries.</t>
  </si>
  <si>
    <t>Segment Analysis by Company Size for June 2019</t>
  </si>
  <si>
    <t>Company Size</t>
  </si>
  <si>
    <t>New Users</t>
  </si>
  <si>
    <t>1-5</t>
  </si>
  <si>
    <t>6-10</t>
  </si>
  <si>
    <t>11-20</t>
  </si>
  <si>
    <t>21-50</t>
  </si>
  <si>
    <t>51-100</t>
  </si>
  <si>
    <t>101-250</t>
  </si>
  <si>
    <t>251-500</t>
  </si>
  <si>
    <t>501+</t>
  </si>
  <si>
    <t>What company size has the best activation Funnel? Why?</t>
  </si>
  <si>
    <t>What company size has the worst activation Funnel? Why?</t>
  </si>
  <si>
    <t>The 21-50 employee company size has the best activation funnel at 43.13% of users activated. This mid-market segment benefits from the highest Setup moment conversion (81%) and the strongest Aha-to-Habit delta (94.67%) of all company sizes. Companies of this size have enough team members to create meaningful collaboration workflows (channels, threads, file sharing) while being small enough for product adoption to spread rapidly through word-of-mouth within the organization. They are past the 'too small for Slack' threshold but below the enterprise complexity level that slows adoption.</t>
  </si>
  <si>
    <t>The 1-5 employee company size has the worst activation funnel at 19.26% of users activated. Very small teams have the lowest Setup moment conversion (64%) and the weakest overall activation progression. With only 1-5 people, the collaboration value of Slack is limited: there are few channels to create, few colleagues to invite, and fewer reasons to build the habit of checking Slack over SMS or email. The product's team-oriented features (channels, threads, search) are underutilized when there is almost no team to collaborate with.</t>
  </si>
  <si>
    <t>Marketing should focus acquisition on 21-50 employee companies (43.13% activated) and 11-20 employee companies (36.55%) as the highest-converting size segments. Growth-stage startups and scale-ups in the 6-50 employee range represent the core ICP for Slack: large enough to need structured team communication, small enough for rapid adoption without a formal procurement process. Marketing should develop content and ad campaigns that speak to the pain points of growing teams (siloed email threads, information scattered across tools) to maximize conversion from these size segments. The 1-5 employee segment should receive a simplified onboarding experience rather than investment in new acquisition.</t>
  </si>
  <si>
    <t>[ACTION] Create a dedicated onboarding flow for 1-5 person teams that strips away channel management complexity and focuses on a single use case: 'Replace your work SMS/iMessage with Slack.' Show only DM and basic file share features in the first session, hiding advanced features (workflows, app integrations, channel management) behind a 'Explore More' section. [OUTCOME] Improving 1-5 person team activation from 19.26% to 25%+ would recover approximately 16 additional activated users from the 280 acquired in this segment. [THEORY] Very small teams are overwhelmed by Slack's full feature set; a simplified first-session experience that mirrors iMessage/SMS but for work reduces decision fatigue and gets users to the Aha moment (first group message) faster.</t>
  </si>
  <si>
    <t>Segment Analysis by Account Size for June 2019</t>
  </si>
  <si>
    <t>Account Size</t>
  </si>
  <si>
    <t>1 - 2</t>
  </si>
  <si>
    <t>2 - 5</t>
  </si>
  <si>
    <t>5 - 10</t>
  </si>
  <si>
    <t>10 - 20</t>
  </si>
  <si>
    <t>20 - 50</t>
  </si>
  <si>
    <t>50 - 100</t>
  </si>
  <si>
    <t>100+</t>
  </si>
  <si>
    <t>What account size has the best activation Funnel? Why?</t>
  </si>
  <si>
    <t>What account size has the worst activation Funnel? Why?</t>
  </si>
  <si>
    <t>The 50-100 account size (user count within the Slack workspace) has the best activation funnel at 51.53% of users activated, closely followed by 100+ accounts at 49.98%. Larger accounts have more active teammates, which means new users joining these workspaces immediately experience the product's core value: a busy, active communication environment where group channels are already populated with conversations. The network effect within a large account dramatically reduces the time-to-first-Aha-moment.</t>
  </si>
  <si>
    <t>The 1-2 account size has the worst activation funnel at 15.57% of users activated. A workspace with only 1-2 users cannot provide the team communication experience that Slack is designed for. Without colleagues to message, no channels to join, and no existing conversations to read, new users in 1-2 person accounts find an empty product with no immediate value. This is a 'chicken and egg' problem: the product requires a team to be valuable, but the user signed up before their team was on the platform.</t>
  </si>
  <si>
    <t>Marketing should target acquisition toward users from larger accounts (50+ users) and build campaigns that encourage team-wide adoption rather than individual sign-ups. The activation rate doubles from 15.57% (1-2 users) to 44.18% (10-20 users) and peaks at 51.53% (50-100 users), confirming that account size is one of the strongest predictors of activation. Marketing should promote 'Bring Your Team' campaigns and highlight case studies from organizations that adopted Slack team-wide, rather than focusing on individual productivity benefits.</t>
  </si>
  <si>
    <t>[ACTION] Create a 'Bring Your Team' invite campaign for users in 1-2 person accounts, triggered within the first 24 hours of signup, that provides a personalized team invitation link and an email template the user can forward to colleagues with one click. Include social proof ('Teams of 5+ see 3x higher activation rates'). [OUTCOME] Converting 1-2 accounts to 2-5 accounts could improve activation from 15.57% to 19.29%, recovering approximately 4 additional activated users per cohort of 100 acquired in the 1-2 seat segment. [THEORY] The activation data shows a near-linear relationship between account size and activation rate; the single most impactful lever for 1-2 person accounts is growing the account, which is achieved by getting the user to invite teammates before their initial motivation to sign up fades.</t>
  </si>
  <si>
    <t>Segment Funnel by Sources for June 2019</t>
  </si>
  <si>
    <t>Source</t>
  </si>
  <si>
    <t>Pricing Page</t>
  </si>
  <si>
    <t>Free Trial Page</t>
  </si>
  <si>
    <t>Referral link</t>
  </si>
  <si>
    <t>Team Invitation</t>
  </si>
  <si>
    <t>Blog Page</t>
  </si>
  <si>
    <t>What source has the best activation Funnel? Why?</t>
  </si>
  <si>
    <t>What source has the worst activation Funnel? Why?</t>
  </si>
  <si>
    <t>Team Invitation has the best activation funnel at 45.94% of users activated. Users who arrive via a team invitation already have social context - a colleague who already uses Slack and is expecting to collaborate with them. This pre-existing social commitment means invited users immediately have a reason to complete setup (their colleague is waiting), a teammate to message (their first Aha moment), and an active workspace to join (their Setup moment is partially complete). Team Invitation is the most powerful lead source because it bakes the Aha and Setup moments into the acquisition process itself.</t>
  </si>
  <si>
    <t>Blog Page has the worst activation funnel at 26.81% of users activated. Blog readers typically discover Slack through informational content (how-to articles, product comparison lists, general productivity content) rather than through an active need or peer recommendation. This represents the lowest-intent lead source: the user may be curious but not yet ready to adopt. Blog leads also arrive at the product cold - no existing social network, no team on the platform, no urgent use case driving immediate setup completion.</t>
  </si>
  <si>
    <t>Marketing should invest in growing the Team Invitation (45.94%) and Referral Link (37.96%) lead sources as the highest-converting acquisition channels. Both referral-based sources outperform all direct/paid channels (Pricing Page: 29.38%, Free Trial Page: 31.38%, Blog: 26.81%), confirming that social proof and peer recommendation are the most powerful drivers of activation for Slack. Marketing should build a dedicated referral program with incentives for existing users who invite teammates and should optimize the in-product invite flow to make it as frictionless as possible. Blog and Pricing Page traffic should be redirected through a 'team-first' onboarding path that recreates the social context that makes invited users so much more likely to activate.</t>
  </si>
  <si>
    <t>[ACTION] Design a specialized 'No-Team Onboarding' experience for Blog Page visitors that simulates a team environment: prompt the user to invite 1-3 colleagues within the first 5 minutes of signup using a streamlined invite modal with pre-written email copy, and show them a demo workspace with example conversations to illustrate the product experience before their team arrives. [OUTCOME] Improving Blog lead activation from 26.81% to 32%+ would recover approximately 57 additional activated users from the 110 acquired via Blog in this cohort, a 19% relative improvement. [THEORY] Blog readers have discovery-stage intent but lack the social trigger that makes invited users activate so well; creating an artificial team context (demo workspace + immediate invite prompt) bridges the gap between content-discovery intent and product-adoption readiness.</t>
  </si>
  <si>
    <t>Observations (Personal Notes): Peak at ~3 days taken</t>
  </si>
  <si>
    <t>Observations (Personal Notes): Noticeable decline at 4+ days taken</t>
  </si>
  <si>
    <t>Observations (Personal Notes): Noticeable decline at 4+days taken</t>
  </si>
  <si>
    <t>yes, days taken</t>
  </si>
  <si>
    <t xml:space="preserve">we see that after 4 days, the overlap falls off </t>
  </si>
  <si>
    <t>no</t>
  </si>
  <si>
    <t>No observable impact for searching through old documents; unsurprising due to typical scenarios</t>
  </si>
  <si>
    <t>Observations (Personal Notes): team behavior appears consistent after even 100 messages sent</t>
  </si>
  <si>
    <t>Observations (Personal Notes): consistent behavior</t>
  </si>
  <si>
    <t>users do not appear to log in less due to other tools (independence)</t>
  </si>
  <si>
    <t>team-level behavior is consistent and illustrates an overall upward trend</t>
  </si>
  <si>
    <t>Observations (Personal Notes): slight trend downward with higher volume</t>
  </si>
  <si>
    <t>Using Slack more often leads to a habit of exposure</t>
  </si>
  <si>
    <t>Early utilization leads to long term engagement</t>
  </si>
  <si>
    <t>Collaboration leads to increased usage, adoption, and engagement</t>
  </si>
  <si>
    <t>Observations (Personal Notes): picture might be personal preference and independent</t>
  </si>
  <si>
    <t>while we might imagine that setting a picture is a type of "ownership" mechanism, the data implies it's a minor aspect</t>
  </si>
  <si>
    <t>Observations (Personal Notes): linear decline model</t>
  </si>
  <si>
    <t>Team invitation most impactful per activation</t>
  </si>
  <si>
    <t>larger accounts have higher activation (logical; probably institutional requirment)</t>
  </si>
  <si>
    <t>groups with a size large enough to have a few teams have the most activation ratio</t>
  </si>
  <si>
    <t>tech industry high prevalence (expected)</t>
  </si>
  <si>
    <t>Observations (Personal Notes): sharp decline after more than 4 users invited (spam invite?)</t>
  </si>
  <si>
    <t>yes, number of invites</t>
  </si>
  <si>
    <t>inviting a specific person/persons seems to result in direct conversion unless a mass invite is conducted (assumption)</t>
  </si>
  <si>
    <t>maybe, integration</t>
  </si>
  <si>
    <t>3rd party integration can be meaningful but if the user did not integrate upon activation, their probability decreases (get used to using the app in a stand alone manner?)</t>
  </si>
  <si>
    <t>yes, num msgs</t>
  </si>
  <si>
    <t>seems massive "@s" lead to decreased engagement</t>
  </si>
  <si>
    <t>maybe, days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</si>
</sst>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mmm\-yy"/>
  </numFmts>
  <fonts count="25">
    <font>
      <sz val="10"/>
      <color rgb="FF000000"/>
      <name val="Arial"/>
      <scheme val="minor"/>
    </font>
    <font>
      <sz val="31"/>
      <color rgb="FF000000"/>
      <name val="Arial"/>
    </font>
    <font>
      <sz val="10"/>
      <color theme="1"/>
      <name val="Arial"/>
      <scheme val="minor"/>
    </font>
    <font>
      <u/>
      <sz val="10"/>
      <color rgb="FF0000FF"/>
      <name val="Arial"/>
    </font>
    <font>
      <sz val="10"/>
      <color rgb="FF000000"/>
      <name val="Arial"/>
    </font>
    <font>
      <b/>
      <sz val="10"/>
      <color rgb="FF000000"/>
      <name val="Arial"/>
    </font>
    <font>
      <b/>
      <sz val="10"/>
      <color theme="1"/>
      <name val="Arial"/>
    </font>
    <font>
      <sz val="10"/>
      <color theme="1"/>
      <name val="Arial"/>
    </font>
    <font>
      <sz val="11"/>
      <color rgb="FF222222"/>
      <name val="&quot;Google Sans&quot;"/>
    </font>
    <font>
      <b/>
      <sz val="20"/>
      <color theme="1"/>
      <name val="Arial"/>
    </font>
    <font>
      <b/>
      <sz val="30"/>
      <color theme="1"/>
      <name val="Arial"/>
      <scheme val="minor"/>
    </font>
    <font>
      <b/>
      <u/>
      <sz val="10"/>
      <color rgb="FF0000FF"/>
      <name val="Arial"/>
    </font>
    <font>
      <b/>
      <sz val="10"/>
      <color theme="1"/>
      <name val="Arial"/>
      <scheme val="minor"/>
    </font>
    <font>
      <b/>
      <sz val="30"/>
      <color theme="1"/>
      <name val="Arial"/>
    </font>
    <font>
      <b/>
      <sz val="10"/>
      <color rgb="FFB7B7B7"/>
      <name val="Arial"/>
      <scheme val="minor"/>
    </font>
    <font>
      <sz val="10"/>
      <color rgb="FFB7B7B7"/>
      <name val="Arial"/>
      <scheme val="minor"/>
    </font>
    <font>
      <b/>
      <sz val="10"/>
      <color rgb="FFB7B7B7"/>
      <name val="Arial"/>
    </font>
    <font>
      <sz val="11"/>
      <color rgb="FF000000"/>
      <name val="Arial"/>
    </font>
    <font>
      <b/>
      <sz val="18"/>
      <color theme="1"/>
      <name val="Arial"/>
      <scheme val="minor"/>
    </font>
    <font>
      <sz val="10"/>
      <color theme="1"/>
      <name val="Arial"/>
      <scheme val="minor"/>
    </font>
    <font>
      <b/>
      <sz val="10"/>
      <color rgb="FF000000"/>
      <name val="Open Sans"/>
    </font>
    <font>
      <b/>
      <sz val="10"/>
      <color theme="1"/>
      <name val="Arial"/>
      <scheme val="minor"/>
    </font>
    <font>
      <sz val="10"/>
      <color rgb="FF000000"/>
      <name val="Open Sans"/>
    </font>
    <font>
      <b/>
      <sz val="10"/>
      <color theme="1"/>
      <name val="Open Sans"/>
    </font>
    <font>
      <sz val="10"/>
      <color rgb="FF000000"/>
      <name val="Arial"/>
      <scheme val="minor"/>
    </font>
  </fonts>
  <fills count="24">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B6D7A8"/>
        <bgColor rgb="FFB6D7A8"/>
      </patternFill>
    </fill>
    <fill>
      <patternFill patternType="solid">
        <fgColor rgb="FFF6B26B"/>
        <bgColor rgb="FFF6B26B"/>
      </patternFill>
    </fill>
    <fill>
      <patternFill patternType="solid">
        <fgColor rgb="FFF3F3F3"/>
        <bgColor rgb="FFF3F3F3"/>
      </patternFill>
    </fill>
    <fill>
      <patternFill patternType="solid">
        <fgColor rgb="FFA4C2F4"/>
        <bgColor rgb="FFA4C2F4"/>
      </patternFill>
    </fill>
    <fill>
      <patternFill patternType="solid">
        <fgColor rgb="FFD8D8D8"/>
        <bgColor rgb="FFD8D8D8"/>
      </patternFill>
    </fill>
    <fill>
      <patternFill patternType="solid">
        <fgColor rgb="FFC0CE7B"/>
        <bgColor rgb="FFC0CE7B"/>
      </patternFill>
    </fill>
    <fill>
      <patternFill patternType="solid">
        <fgColor rgb="FFFBD584"/>
        <bgColor rgb="FFFBD584"/>
      </patternFill>
    </fill>
    <fill>
      <patternFill patternType="solid">
        <fgColor rgb="FFEF9E65"/>
        <bgColor rgb="FFEF9E65"/>
      </patternFill>
    </fill>
    <fill>
      <patternFill patternType="solid">
        <fgColor rgb="FFF9CA7E"/>
        <bgColor rgb="FFF9CA7E"/>
      </patternFill>
    </fill>
    <fill>
      <patternFill patternType="solid">
        <fgColor rgb="FFF0A468"/>
        <bgColor rgb="FFF0A468"/>
      </patternFill>
    </fill>
    <fill>
      <patternFill patternType="solid">
        <fgColor rgb="FFE98256"/>
        <bgColor rgb="FFE98256"/>
      </patternFill>
    </fill>
    <fill>
      <patternFill patternType="solid">
        <fgColor rgb="FFFEE18B"/>
        <bgColor rgb="FFFEE18B"/>
      </patternFill>
    </fill>
    <fill>
      <patternFill patternType="solid">
        <fgColor rgb="FFF1A96C"/>
        <bgColor rgb="FFF1A96C"/>
      </patternFill>
    </fill>
    <fill>
      <patternFill patternType="solid">
        <fgColor rgb="FFE5724D"/>
        <bgColor rgb="FFE5724D"/>
      </patternFill>
    </fill>
    <fill>
      <patternFill patternType="solid">
        <fgColor rgb="FFF7C57B"/>
        <bgColor rgb="FFF7C57B"/>
      </patternFill>
    </fill>
    <fill>
      <patternFill patternType="solid">
        <fgColor rgb="FFEC935F"/>
        <bgColor rgb="FFEC935F"/>
      </patternFill>
    </fill>
    <fill>
      <patternFill patternType="solid">
        <fgColor rgb="FFEC8F5D"/>
        <bgColor rgb="FFEC8F5D"/>
      </patternFill>
    </fill>
    <fill>
      <patternFill patternType="solid">
        <fgColor rgb="FFE26344"/>
        <bgColor rgb="FFE26344"/>
      </patternFill>
    </fill>
    <fill>
      <patternFill patternType="solid">
        <fgColor rgb="FFDF563D"/>
        <bgColor rgb="FFDF563D"/>
      </patternFill>
    </fill>
    <fill>
      <patternFill patternType="solid">
        <fgColor rgb="FFEA8859"/>
        <bgColor rgb="FFEA8859"/>
      </patternFill>
    </fill>
  </fills>
  <borders count="15">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9" fontId="24" fillId="0" borderId="0" applyFont="0" applyFill="0" applyBorder="0" applyAlignment="0" applyProtection="0"/>
  </cellStyleXfs>
  <cellXfs count="223">
    <xf numFmtId="0" fontId="0" fillId="0" borderId="0" xfId="0"/>
    <xf numFmtId="0" fontId="4" fillId="3" borderId="0" xfId="0" applyFont="1" applyFill="1" applyAlignment="1">
      <alignment horizontal="left"/>
    </xf>
    <xf numFmtId="0" fontId="6" fillId="0" borderId="1" xfId="0" applyFont="1" applyBorder="1" applyAlignment="1">
      <alignment horizontal="center"/>
    </xf>
    <xf numFmtId="0" fontId="6" fillId="0" borderId="2" xfId="0" applyFont="1" applyBorder="1" applyAlignment="1">
      <alignment horizontal="center"/>
    </xf>
    <xf numFmtId="0" fontId="6" fillId="2" borderId="9" xfId="0" applyFont="1" applyFill="1" applyBorder="1" applyAlignment="1">
      <alignment horizontal="center"/>
    </xf>
    <xf numFmtId="0" fontId="6" fillId="2" borderId="9" xfId="0" applyFont="1" applyFill="1" applyBorder="1"/>
    <xf numFmtId="0" fontId="7" fillId="2" borderId="9" xfId="0" applyFont="1" applyFill="1" applyBorder="1"/>
    <xf numFmtId="0" fontId="7" fillId="2" borderId="2" xfId="0" applyFont="1" applyFill="1" applyBorder="1"/>
    <xf numFmtId="0" fontId="7" fillId="0" borderId="10" xfId="0" applyFont="1" applyBorder="1" applyAlignment="1">
      <alignment horizontal="center"/>
    </xf>
    <xf numFmtId="0" fontId="7" fillId="4" borderId="9" xfId="0" applyFont="1" applyFill="1" applyBorder="1"/>
    <xf numFmtId="0" fontId="7" fillId="0" borderId="9" xfId="0" applyFont="1" applyBorder="1"/>
    <xf numFmtId="0" fontId="2" fillId="0" borderId="9" xfId="0" applyFont="1" applyBorder="1" applyAlignment="1">
      <alignment horizontal="center"/>
    </xf>
    <xf numFmtId="0" fontId="7" fillId="2" borderId="9" xfId="0" applyFont="1" applyFill="1" applyBorder="1" applyAlignment="1">
      <alignment horizontal="center"/>
    </xf>
    <xf numFmtId="0" fontId="8" fillId="3" borderId="9" xfId="0" applyFont="1" applyFill="1" applyBorder="1"/>
    <xf numFmtId="0" fontId="7" fillId="0" borderId="0" xfId="0" applyFont="1"/>
    <xf numFmtId="0" fontId="6" fillId="0" borderId="0" xfId="0" applyFont="1" applyAlignment="1">
      <alignment wrapText="1"/>
    </xf>
    <xf numFmtId="0" fontId="5" fillId="5" borderId="0" xfId="0" applyFont="1" applyFill="1" applyAlignment="1">
      <alignment horizontal="left"/>
    </xf>
    <xf numFmtId="0" fontId="4" fillId="5" borderId="7" xfId="0" applyFont="1" applyFill="1" applyBorder="1" applyAlignment="1">
      <alignment horizontal="left"/>
    </xf>
    <xf numFmtId="0" fontId="4" fillId="5" borderId="8" xfId="0" applyFont="1" applyFill="1" applyBorder="1" applyAlignment="1">
      <alignment horizontal="left"/>
    </xf>
    <xf numFmtId="0" fontId="6" fillId="3" borderId="10"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7" fillId="3" borderId="9" xfId="0" applyFont="1" applyFill="1" applyBorder="1" applyAlignment="1">
      <alignment horizontal="right"/>
    </xf>
    <xf numFmtId="0" fontId="7" fillId="3" borderId="9" xfId="0" applyFont="1" applyFill="1" applyBorder="1"/>
    <xf numFmtId="10" fontId="7" fillId="5" borderId="9" xfId="0" applyNumberFormat="1" applyFont="1" applyFill="1" applyBorder="1" applyAlignment="1">
      <alignment horizontal="right"/>
    </xf>
    <xf numFmtId="0" fontId="7" fillId="5" borderId="9" xfId="0" applyFont="1" applyFill="1" applyBorder="1" applyAlignment="1">
      <alignment horizontal="center"/>
    </xf>
    <xf numFmtId="0" fontId="7" fillId="5" borderId="9" xfId="0" applyFont="1" applyFill="1" applyBorder="1" applyAlignment="1">
      <alignment horizontal="right" wrapText="1"/>
    </xf>
    <xf numFmtId="0" fontId="4" fillId="5" borderId="9" xfId="0" applyFont="1" applyFill="1" applyBorder="1" applyAlignment="1">
      <alignment vertical="top" wrapText="1"/>
    </xf>
    <xf numFmtId="0" fontId="7" fillId="5" borderId="9" xfId="0" applyFont="1" applyFill="1" applyBorder="1" applyAlignment="1">
      <alignment vertical="top"/>
    </xf>
    <xf numFmtId="0" fontId="4" fillId="5" borderId="9" xfId="0" applyFont="1" applyFill="1" applyBorder="1" applyAlignment="1">
      <alignment wrapText="1"/>
    </xf>
    <xf numFmtId="0" fontId="7" fillId="5" borderId="9" xfId="0" applyFont="1" applyFill="1" applyBorder="1" applyAlignment="1">
      <alignment wrapText="1"/>
    </xf>
    <xf numFmtId="0" fontId="7" fillId="5" borderId="9" xfId="0" applyFont="1" applyFill="1" applyBorder="1"/>
    <xf numFmtId="0" fontId="7" fillId="5" borderId="9" xfId="0" applyFont="1" applyFill="1" applyBorder="1" applyAlignment="1">
      <alignment vertical="top" wrapText="1"/>
    </xf>
    <xf numFmtId="0" fontId="7" fillId="0" borderId="9" xfId="0" applyFont="1" applyBorder="1" applyAlignment="1">
      <alignment horizontal="right"/>
    </xf>
    <xf numFmtId="10" fontId="7" fillId="4" borderId="9" xfId="0" applyNumberFormat="1" applyFont="1" applyFill="1" applyBorder="1" applyAlignment="1">
      <alignment horizontal="right"/>
    </xf>
    <xf numFmtId="0" fontId="7" fillId="4" borderId="9" xfId="0" applyFont="1" applyFill="1" applyBorder="1" applyAlignment="1">
      <alignment horizontal="right" wrapText="1"/>
    </xf>
    <xf numFmtId="0" fontId="7" fillId="4" borderId="10" xfId="0" applyFont="1" applyFill="1" applyBorder="1" applyAlignment="1">
      <alignment vertical="top" wrapText="1"/>
    </xf>
    <xf numFmtId="0" fontId="7" fillId="4" borderId="9" xfId="0" applyFont="1" applyFill="1" applyBorder="1" applyAlignment="1">
      <alignment vertical="top"/>
    </xf>
    <xf numFmtId="0" fontId="4" fillId="4" borderId="9" xfId="0" applyFont="1" applyFill="1" applyBorder="1" applyAlignment="1">
      <alignment wrapText="1"/>
    </xf>
    <xf numFmtId="0" fontId="7" fillId="4" borderId="9" xfId="0" applyFont="1" applyFill="1" applyBorder="1" applyAlignment="1">
      <alignment wrapText="1"/>
    </xf>
    <xf numFmtId="0" fontId="7" fillId="4" borderId="9" xfId="0" applyFont="1" applyFill="1" applyBorder="1" applyAlignment="1">
      <alignment vertical="top" wrapText="1"/>
    </xf>
    <xf numFmtId="0" fontId="4" fillId="4" borderId="10" xfId="0" applyFont="1" applyFill="1" applyBorder="1" applyAlignment="1">
      <alignment vertical="top" wrapText="1"/>
    </xf>
    <xf numFmtId="0" fontId="4" fillId="4" borderId="9" xfId="0" applyFont="1" applyFill="1" applyBorder="1" applyAlignment="1">
      <alignment vertical="top" wrapText="1"/>
    </xf>
    <xf numFmtId="10" fontId="7" fillId="3" borderId="9" xfId="0" applyNumberFormat="1" applyFont="1" applyFill="1" applyBorder="1" applyAlignment="1">
      <alignment horizontal="right"/>
    </xf>
    <xf numFmtId="10" fontId="7" fillId="6" borderId="9" xfId="0" applyNumberFormat="1" applyFont="1" applyFill="1" applyBorder="1" applyAlignment="1">
      <alignment horizontal="right"/>
    </xf>
    <xf numFmtId="0" fontId="7" fillId="0" borderId="10" xfId="0" applyFont="1" applyBorder="1" applyAlignment="1">
      <alignment horizontal="right"/>
    </xf>
    <xf numFmtId="0" fontId="7" fillId="0" borderId="8" xfId="0" applyFont="1" applyBorder="1"/>
    <xf numFmtId="0" fontId="7" fillId="0" borderId="8" xfId="0" applyFont="1" applyBorder="1" applyAlignment="1">
      <alignment horizontal="right"/>
    </xf>
    <xf numFmtId="10" fontId="7" fillId="0" borderId="0" xfId="0" applyNumberFormat="1" applyFont="1"/>
    <xf numFmtId="10" fontId="7" fillId="0" borderId="7" xfId="0" applyNumberFormat="1" applyFont="1" applyBorder="1"/>
    <xf numFmtId="0" fontId="7" fillId="0" borderId="7" xfId="0" applyFont="1" applyBorder="1"/>
    <xf numFmtId="0" fontId="7" fillId="0" borderId="12" xfId="0" applyFont="1" applyBorder="1"/>
    <xf numFmtId="10" fontId="7" fillId="4" borderId="8" xfId="0" applyNumberFormat="1" applyFont="1" applyFill="1" applyBorder="1" applyAlignment="1">
      <alignment horizontal="right"/>
    </xf>
    <xf numFmtId="0" fontId="7" fillId="4" borderId="8" xfId="0" applyFont="1" applyFill="1" applyBorder="1" applyAlignment="1">
      <alignment horizontal="right"/>
    </xf>
    <xf numFmtId="0" fontId="7" fillId="0" borderId="6" xfId="0" applyFont="1" applyBorder="1" applyAlignment="1">
      <alignment horizontal="left" vertical="top"/>
    </xf>
    <xf numFmtId="0" fontId="7" fillId="0" borderId="7" xfId="0" applyFont="1" applyBorder="1" applyAlignment="1">
      <alignment horizontal="left" vertical="top"/>
    </xf>
    <xf numFmtId="0" fontId="7" fillId="0" borderId="8" xfId="0" applyFont="1" applyBorder="1" applyAlignment="1">
      <alignment horizontal="left" vertical="top"/>
    </xf>
    <xf numFmtId="0" fontId="7" fillId="0" borderId="9" xfId="0" applyFont="1" applyBorder="1" applyAlignment="1">
      <alignment horizontal="left" vertical="top"/>
    </xf>
    <xf numFmtId="0" fontId="6" fillId="2" borderId="10"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5" borderId="10" xfId="0" applyFont="1" applyFill="1" applyBorder="1" applyAlignment="1">
      <alignment horizontal="right" wrapText="1"/>
    </xf>
    <xf numFmtId="0" fontId="7" fillId="5" borderId="8" xfId="0" applyFont="1" applyFill="1" applyBorder="1" applyAlignment="1">
      <alignment wrapText="1"/>
    </xf>
    <xf numFmtId="9" fontId="7" fillId="5" borderId="8" xfId="0" applyNumberFormat="1" applyFont="1" applyFill="1" applyBorder="1" applyAlignment="1">
      <alignment horizontal="right" wrapText="1"/>
    </xf>
    <xf numFmtId="0" fontId="7" fillId="5" borderId="8" xfId="0" applyFont="1" applyFill="1" applyBorder="1" applyAlignment="1">
      <alignment horizontal="right" wrapText="1"/>
    </xf>
    <xf numFmtId="2" fontId="7" fillId="5" borderId="8" xfId="0" applyNumberFormat="1" applyFont="1" applyFill="1" applyBorder="1" applyAlignment="1">
      <alignment horizontal="right" wrapText="1"/>
    </xf>
    <xf numFmtId="0" fontId="7" fillId="4" borderId="10" xfId="0" applyFont="1" applyFill="1" applyBorder="1" applyAlignment="1">
      <alignment horizontal="right" wrapText="1"/>
    </xf>
    <xf numFmtId="0" fontId="7" fillId="4" borderId="8" xfId="0" applyFont="1" applyFill="1" applyBorder="1" applyAlignment="1">
      <alignment wrapText="1"/>
    </xf>
    <xf numFmtId="9" fontId="7" fillId="4" borderId="8" xfId="0" applyNumberFormat="1" applyFont="1" applyFill="1" applyBorder="1" applyAlignment="1">
      <alignment horizontal="right" wrapText="1"/>
    </xf>
    <xf numFmtId="0" fontId="7" fillId="4" borderId="8" xfId="0" applyFont="1" applyFill="1" applyBorder="1" applyAlignment="1">
      <alignment horizontal="right" wrapText="1"/>
    </xf>
    <xf numFmtId="2" fontId="7" fillId="4" borderId="8" xfId="0" applyNumberFormat="1" applyFont="1" applyFill="1" applyBorder="1" applyAlignment="1">
      <alignment horizontal="right" wrapText="1"/>
    </xf>
    <xf numFmtId="0" fontId="7" fillId="4" borderId="8" xfId="0" applyFont="1" applyFill="1" applyBorder="1" applyAlignment="1">
      <alignment vertical="top" wrapText="1"/>
    </xf>
    <xf numFmtId="0" fontId="4" fillId="3" borderId="0" xfId="0" applyFont="1" applyFill="1" applyAlignment="1">
      <alignment horizontal="left" wrapText="1"/>
    </xf>
    <xf numFmtId="0" fontId="2" fillId="5" borderId="0" xfId="0" applyFont="1" applyFill="1"/>
    <xf numFmtId="0" fontId="2" fillId="0" borderId="9" xfId="0" applyFont="1" applyBorder="1"/>
    <xf numFmtId="0" fontId="2" fillId="5" borderId="9" xfId="0" applyFont="1" applyFill="1" applyBorder="1"/>
    <xf numFmtId="0" fontId="2" fillId="4" borderId="9" xfId="0" applyFont="1" applyFill="1" applyBorder="1"/>
    <xf numFmtId="0" fontId="6" fillId="0" borderId="0" xfId="0" applyFont="1" applyAlignment="1">
      <alignment horizontal="left" vertical="top" wrapText="1"/>
    </xf>
    <xf numFmtId="0" fontId="12" fillId="0" borderId="0" xfId="0" applyFont="1" applyAlignment="1">
      <alignment horizontal="left" vertical="top" wrapText="1"/>
    </xf>
    <xf numFmtId="0" fontId="5" fillId="3" borderId="0" xfId="0" applyFont="1" applyFill="1" applyAlignment="1">
      <alignment horizontal="left" wrapText="1"/>
    </xf>
    <xf numFmtId="0" fontId="12" fillId="0" borderId="0" xfId="0" applyFont="1" applyAlignment="1">
      <alignment wrapText="1"/>
    </xf>
    <xf numFmtId="0" fontId="14" fillId="2" borderId="0" xfId="0" applyFont="1" applyFill="1" applyAlignment="1">
      <alignment horizontal="center"/>
    </xf>
    <xf numFmtId="0" fontId="14" fillId="2" borderId="0" xfId="0" applyFont="1" applyFill="1" applyAlignment="1">
      <alignment horizontal="left" vertical="top" wrapText="1"/>
    </xf>
    <xf numFmtId="0" fontId="15" fillId="2" borderId="0" xfId="0" applyFont="1" applyFill="1"/>
    <xf numFmtId="0" fontId="16" fillId="2" borderId="0" xfId="0" applyFont="1" applyFill="1" applyAlignment="1">
      <alignment horizontal="left" wrapText="1"/>
    </xf>
    <xf numFmtId="0" fontId="12" fillId="0" borderId="0" xfId="0" applyFont="1" applyAlignment="1">
      <alignment horizontal="center"/>
    </xf>
    <xf numFmtId="0" fontId="6" fillId="6" borderId="9" xfId="0" applyFont="1" applyFill="1" applyBorder="1" applyAlignment="1">
      <alignment horizontal="center"/>
    </xf>
    <xf numFmtId="0" fontId="12" fillId="0" borderId="0" xfId="0" applyFont="1"/>
    <xf numFmtId="0" fontId="6" fillId="3" borderId="9" xfId="0" applyFont="1" applyFill="1" applyBorder="1" applyAlignment="1">
      <alignment horizontal="center" wrapText="1"/>
    </xf>
    <xf numFmtId="0" fontId="6" fillId="3" borderId="9" xfId="0" applyFont="1" applyFill="1" applyBorder="1" applyAlignment="1">
      <alignment wrapText="1"/>
    </xf>
    <xf numFmtId="0" fontId="6" fillId="6" borderId="9" xfId="0" applyFont="1" applyFill="1" applyBorder="1" applyAlignment="1">
      <alignment horizontal="right"/>
    </xf>
    <xf numFmtId="0" fontId="7" fillId="6" borderId="9" xfId="0" applyFont="1" applyFill="1" applyBorder="1" applyAlignment="1">
      <alignment horizontal="right"/>
    </xf>
    <xf numFmtId="0" fontId="17" fillId="6" borderId="9" xfId="0" applyFont="1" applyFill="1" applyBorder="1" applyAlignment="1">
      <alignment horizontal="right"/>
    </xf>
    <xf numFmtId="3" fontId="7" fillId="6" borderId="9" xfId="0" applyNumberFormat="1" applyFont="1" applyFill="1" applyBorder="1" applyAlignment="1">
      <alignment horizontal="right"/>
    </xf>
    <xf numFmtId="9" fontId="7" fillId="5" borderId="9" xfId="0" applyNumberFormat="1" applyFont="1" applyFill="1" applyBorder="1" applyAlignment="1">
      <alignment horizontal="right"/>
    </xf>
    <xf numFmtId="0" fontId="17" fillId="3" borderId="0" xfId="0" applyFont="1" applyFill="1" applyAlignment="1">
      <alignment horizontal="right"/>
    </xf>
    <xf numFmtId="0" fontId="5" fillId="3" borderId="11" xfId="0" applyFont="1" applyFill="1" applyBorder="1" applyAlignment="1">
      <alignment horizontal="left" wrapText="1"/>
    </xf>
    <xf numFmtId="0" fontId="5" fillId="3" borderId="12" xfId="0" applyFont="1" applyFill="1" applyBorder="1" applyAlignment="1">
      <alignment horizontal="left" wrapText="1"/>
    </xf>
    <xf numFmtId="0" fontId="6" fillId="3" borderId="9" xfId="0" applyFont="1" applyFill="1" applyBorder="1" applyAlignment="1">
      <alignment horizontal="right"/>
    </xf>
    <xf numFmtId="3" fontId="7" fillId="3" borderId="9" xfId="0" applyNumberFormat="1" applyFont="1" applyFill="1" applyBorder="1" applyAlignment="1">
      <alignment horizontal="right"/>
    </xf>
    <xf numFmtId="9" fontId="7" fillId="4" borderId="9" xfId="0" applyNumberFormat="1" applyFont="1" applyFill="1" applyBorder="1" applyAlignment="1">
      <alignment horizontal="right"/>
    </xf>
    <xf numFmtId="0" fontId="7" fillId="0" borderId="0" xfId="0" applyFont="1" applyAlignment="1">
      <alignment horizontal="right"/>
    </xf>
    <xf numFmtId="0" fontId="12" fillId="0" borderId="0" xfId="0" applyFont="1" applyAlignment="1">
      <alignment horizontal="right"/>
    </xf>
    <xf numFmtId="0" fontId="6" fillId="2" borderId="9" xfId="0" applyFont="1" applyFill="1" applyBorder="1" applyAlignment="1">
      <alignment horizontal="center" wrapText="1"/>
    </xf>
    <xf numFmtId="0" fontId="6" fillId="2" borderId="9" xfId="0" applyFont="1" applyFill="1" applyBorder="1" applyAlignment="1">
      <alignment wrapText="1"/>
    </xf>
    <xf numFmtId="0" fontId="6" fillId="0" borderId="9" xfId="0" applyFont="1" applyBorder="1" applyAlignment="1">
      <alignment horizontal="right"/>
    </xf>
    <xf numFmtId="0" fontId="17" fillId="3" borderId="9" xfId="0" applyFont="1" applyFill="1" applyBorder="1" applyAlignment="1">
      <alignment horizontal="right"/>
    </xf>
    <xf numFmtId="3" fontId="7" fillId="0" borderId="9" xfId="0" applyNumberFormat="1" applyFont="1" applyBorder="1" applyAlignment="1">
      <alignment horizontal="right"/>
    </xf>
    <xf numFmtId="0" fontId="2" fillId="0" borderId="0" xfId="0" applyFont="1" applyAlignment="1">
      <alignment horizontal="right"/>
    </xf>
    <xf numFmtId="0" fontId="2" fillId="0" borderId="0" xfId="0" applyFont="1"/>
    <xf numFmtId="0" fontId="12" fillId="0" borderId="0" xfId="0" applyFont="1" applyAlignment="1">
      <alignment horizontal="center" wrapText="1"/>
    </xf>
    <xf numFmtId="0" fontId="2" fillId="0" borderId="0" xfId="0" applyFont="1" applyAlignment="1">
      <alignment wrapText="1"/>
    </xf>
    <xf numFmtId="9" fontId="6" fillId="5" borderId="9" xfId="0" applyNumberFormat="1" applyFont="1" applyFill="1" applyBorder="1" applyAlignment="1">
      <alignment horizontal="right"/>
    </xf>
    <xf numFmtId="3" fontId="7" fillId="0" borderId="0" xfId="0" applyNumberFormat="1" applyFont="1" applyAlignment="1">
      <alignment horizontal="right"/>
    </xf>
    <xf numFmtId="9" fontId="7" fillId="0" borderId="0" xfId="0" applyNumberFormat="1" applyFont="1" applyAlignment="1">
      <alignment horizontal="right"/>
    </xf>
    <xf numFmtId="0" fontId="10" fillId="2" borderId="0" xfId="0" applyFont="1" applyFill="1" applyAlignment="1">
      <alignment horizontal="center"/>
    </xf>
    <xf numFmtId="0" fontId="18" fillId="2" borderId="0" xfId="0" applyFont="1" applyFill="1" applyAlignment="1">
      <alignment horizontal="center"/>
    </xf>
    <xf numFmtId="0" fontId="6" fillId="5" borderId="0" xfId="0" applyFont="1" applyFill="1" applyAlignment="1">
      <alignment horizontal="left" vertical="top" wrapText="1"/>
    </xf>
    <xf numFmtId="0" fontId="4" fillId="5" borderId="0" xfId="0" applyFont="1" applyFill="1" applyAlignment="1">
      <alignment horizontal="left" wrapText="1"/>
    </xf>
    <xf numFmtId="0" fontId="2" fillId="3" borderId="0" xfId="0" applyFont="1" applyFill="1" applyAlignment="1">
      <alignment horizontal="left" wrapText="1"/>
    </xf>
    <xf numFmtId="0" fontId="12" fillId="2" borderId="0" xfId="0" applyFont="1" applyFill="1" applyAlignment="1">
      <alignment horizontal="center"/>
    </xf>
    <xf numFmtId="0" fontId="7" fillId="4" borderId="0" xfId="0" applyFont="1" applyFill="1" applyAlignment="1">
      <alignment horizontal="center"/>
    </xf>
    <xf numFmtId="0" fontId="5" fillId="5" borderId="0" xfId="0" applyFont="1" applyFill="1" applyAlignment="1">
      <alignment horizontal="left" wrapText="1"/>
    </xf>
    <xf numFmtId="0" fontId="7" fillId="5" borderId="0" xfId="0" applyFont="1" applyFill="1" applyAlignment="1">
      <alignment horizontal="center" wrapText="1"/>
    </xf>
    <xf numFmtId="0" fontId="7" fillId="4" borderId="0" xfId="0" applyFont="1" applyFill="1" applyAlignment="1">
      <alignment horizontal="center" wrapText="1"/>
    </xf>
    <xf numFmtId="0" fontId="7" fillId="3" borderId="0" xfId="0" applyFont="1" applyFill="1" applyAlignment="1">
      <alignment horizontal="center" wrapText="1"/>
    </xf>
    <xf numFmtId="0" fontId="19" fillId="0" borderId="0" xfId="0" applyFont="1"/>
    <xf numFmtId="0" fontId="21" fillId="0" borderId="0" xfId="0" applyFont="1" applyAlignment="1">
      <alignment horizontal="center" vertical="center"/>
    </xf>
    <xf numFmtId="0" fontId="20" fillId="2" borderId="9" xfId="0" applyFont="1" applyFill="1" applyBorder="1" applyAlignment="1">
      <alignment horizontal="center" wrapText="1"/>
    </xf>
    <xf numFmtId="0" fontId="20" fillId="8" borderId="9" xfId="0" applyFont="1" applyFill="1" applyBorder="1" applyAlignment="1">
      <alignment horizontal="center"/>
    </xf>
    <xf numFmtId="3" fontId="20" fillId="8" borderId="9" xfId="0" applyNumberFormat="1" applyFont="1" applyFill="1" applyBorder="1" applyAlignment="1">
      <alignment horizontal="center"/>
    </xf>
    <xf numFmtId="1" fontId="20" fillId="8" borderId="9" xfId="0" applyNumberFormat="1" applyFont="1" applyFill="1" applyBorder="1" applyAlignment="1">
      <alignment horizontal="center"/>
    </xf>
    <xf numFmtId="0" fontId="22" fillId="8" borderId="9" xfId="0" applyFont="1" applyFill="1" applyBorder="1" applyAlignment="1">
      <alignment horizontal="center"/>
    </xf>
    <xf numFmtId="3" fontId="22" fillId="8" borderId="9" xfId="0" applyNumberFormat="1" applyFont="1" applyFill="1" applyBorder="1" applyAlignment="1">
      <alignment horizontal="center"/>
    </xf>
    <xf numFmtId="9" fontId="22" fillId="9" borderId="9" xfId="0" applyNumberFormat="1" applyFont="1" applyFill="1" applyBorder="1" applyAlignment="1">
      <alignment horizontal="center"/>
    </xf>
    <xf numFmtId="9" fontId="22" fillId="7" borderId="9" xfId="0" applyNumberFormat="1" applyFont="1" applyFill="1" applyBorder="1" applyAlignment="1">
      <alignment horizontal="center"/>
    </xf>
    <xf numFmtId="9" fontId="22" fillId="10" borderId="9" xfId="0" applyNumberFormat="1" applyFont="1" applyFill="1" applyBorder="1" applyAlignment="1">
      <alignment horizontal="center"/>
    </xf>
    <xf numFmtId="9" fontId="22" fillId="11" borderId="9" xfId="0" applyNumberFormat="1" applyFont="1" applyFill="1" applyBorder="1" applyAlignment="1">
      <alignment horizontal="center"/>
    </xf>
    <xf numFmtId="1" fontId="19" fillId="7" borderId="9" xfId="0" applyNumberFormat="1" applyFont="1" applyFill="1" applyBorder="1" applyAlignment="1">
      <alignment horizontal="center"/>
    </xf>
    <xf numFmtId="9" fontId="19" fillId="7" borderId="9" xfId="0" applyNumberFormat="1" applyFont="1" applyFill="1" applyBorder="1" applyAlignment="1">
      <alignment horizontal="center"/>
    </xf>
    <xf numFmtId="9" fontId="22" fillId="12" borderId="9" xfId="0" applyNumberFormat="1" applyFont="1" applyFill="1" applyBorder="1" applyAlignment="1">
      <alignment horizontal="center"/>
    </xf>
    <xf numFmtId="1" fontId="19" fillId="4" borderId="9" xfId="0" applyNumberFormat="1" applyFont="1" applyFill="1" applyBorder="1" applyAlignment="1">
      <alignment horizontal="center"/>
    </xf>
    <xf numFmtId="9" fontId="22" fillId="13" borderId="9" xfId="0" applyNumberFormat="1" applyFont="1" applyFill="1" applyBorder="1" applyAlignment="1">
      <alignment horizontal="center"/>
    </xf>
    <xf numFmtId="9" fontId="22" fillId="14" borderId="9" xfId="0" applyNumberFormat="1" applyFont="1" applyFill="1" applyBorder="1" applyAlignment="1">
      <alignment horizontal="center"/>
    </xf>
    <xf numFmtId="9" fontId="19" fillId="4" borderId="9" xfId="0" applyNumberFormat="1" applyFont="1" applyFill="1" applyBorder="1" applyAlignment="1">
      <alignment horizontal="center"/>
    </xf>
    <xf numFmtId="9" fontId="22" fillId="15" borderId="9" xfId="0" applyNumberFormat="1" applyFont="1" applyFill="1" applyBorder="1" applyAlignment="1">
      <alignment horizontal="center"/>
    </xf>
    <xf numFmtId="9" fontId="22" fillId="16" borderId="9" xfId="0" applyNumberFormat="1" applyFont="1" applyFill="1" applyBorder="1" applyAlignment="1">
      <alignment horizontal="center"/>
    </xf>
    <xf numFmtId="9" fontId="22" fillId="17" borderId="9" xfId="0" applyNumberFormat="1" applyFont="1" applyFill="1" applyBorder="1" applyAlignment="1">
      <alignment horizontal="center"/>
    </xf>
    <xf numFmtId="9" fontId="22" fillId="18" borderId="9" xfId="0" applyNumberFormat="1" applyFont="1" applyFill="1" applyBorder="1" applyAlignment="1">
      <alignment horizontal="center"/>
    </xf>
    <xf numFmtId="9" fontId="22" fillId="19" borderId="9" xfId="0" applyNumberFormat="1" applyFont="1" applyFill="1" applyBorder="1" applyAlignment="1">
      <alignment horizontal="center"/>
    </xf>
    <xf numFmtId="9" fontId="22" fillId="20" borderId="9" xfId="0" applyNumberFormat="1" applyFont="1" applyFill="1" applyBorder="1" applyAlignment="1">
      <alignment horizontal="center"/>
    </xf>
    <xf numFmtId="9" fontId="22" fillId="21" borderId="9" xfId="0" applyNumberFormat="1" applyFont="1" applyFill="1" applyBorder="1" applyAlignment="1">
      <alignment horizontal="center"/>
    </xf>
    <xf numFmtId="9" fontId="22" fillId="22" borderId="9" xfId="0" applyNumberFormat="1" applyFont="1" applyFill="1" applyBorder="1" applyAlignment="1">
      <alignment horizontal="center"/>
    </xf>
    <xf numFmtId="9" fontId="22" fillId="23" borderId="9" xfId="0" applyNumberFormat="1" applyFont="1" applyFill="1" applyBorder="1" applyAlignment="1">
      <alignment horizontal="center"/>
    </xf>
    <xf numFmtId="164" fontId="20" fillId="8" borderId="9" xfId="0" applyNumberFormat="1" applyFont="1" applyFill="1" applyBorder="1" applyAlignment="1">
      <alignment horizontal="center"/>
    </xf>
    <xf numFmtId="3" fontId="23" fillId="8" borderId="9" xfId="0" applyNumberFormat="1" applyFont="1" applyFill="1" applyBorder="1" applyAlignment="1">
      <alignment horizontal="center"/>
    </xf>
    <xf numFmtId="9" fontId="23" fillId="8" borderId="9" xfId="0" applyNumberFormat="1" applyFont="1" applyFill="1" applyBorder="1" applyAlignment="1">
      <alignment horizontal="center"/>
    </xf>
    <xf numFmtId="3" fontId="23" fillId="4" borderId="9" xfId="0" applyNumberFormat="1" applyFont="1" applyFill="1" applyBorder="1" applyAlignment="1">
      <alignment horizontal="center"/>
    </xf>
    <xf numFmtId="0" fontId="5" fillId="3" borderId="9" xfId="0" applyFont="1" applyFill="1" applyBorder="1" applyAlignment="1">
      <alignment horizontal="left" wrapText="1"/>
    </xf>
    <xf numFmtId="0" fontId="0" fillId="0" borderId="1" xfId="0" applyBorder="1"/>
    <xf numFmtId="0" fontId="0" fillId="0" borderId="2" xfId="0" applyBorder="1"/>
    <xf numFmtId="0" fontId="2" fillId="0" borderId="9" xfId="0" applyFont="1" applyBorder="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3" fillId="0" borderId="9" xfId="0" applyFont="1" applyBorder="1" applyAlignment="1">
      <alignment vertical="top" wrapText="1"/>
    </xf>
    <xf numFmtId="0" fontId="4" fillId="3" borderId="8" xfId="0" applyFont="1" applyFill="1" applyBorder="1" applyAlignment="1">
      <alignment horizontal="left" wrapText="1"/>
    </xf>
    <xf numFmtId="0" fontId="1" fillId="2" borderId="9" xfId="0" applyFont="1" applyFill="1" applyBorder="1" applyAlignment="1">
      <alignment horizontal="right"/>
    </xf>
    <xf numFmtId="0" fontId="6" fillId="0" borderId="14" xfId="0" applyFont="1" applyBorder="1" applyAlignment="1">
      <alignment horizontal="left" vertical="top" wrapText="1"/>
    </xf>
    <xf numFmtId="0" fontId="0" fillId="0" borderId="0" xfId="0"/>
    <xf numFmtId="0" fontId="0" fillId="0" borderId="12" xfId="0" applyBorder="1"/>
    <xf numFmtId="0" fontId="6" fillId="2" borderId="9" xfId="0" applyFont="1" applyFill="1" applyBorder="1" applyAlignment="1">
      <alignment horizontal="center" vertical="center" wrapText="1"/>
    </xf>
    <xf numFmtId="0" fontId="4" fillId="4" borderId="9" xfId="0" applyFont="1" applyFill="1" applyBorder="1" applyAlignment="1">
      <alignment vertical="top" wrapText="1"/>
    </xf>
    <xf numFmtId="0" fontId="6" fillId="0" borderId="14" xfId="0" applyFont="1" applyBorder="1" applyAlignment="1">
      <alignment vertical="top" wrapText="1"/>
    </xf>
    <xf numFmtId="0" fontId="6" fillId="0" borderId="10" xfId="0" applyFont="1" applyBorder="1" applyAlignment="1">
      <alignment horizontal="left" vertical="top" wrapText="1"/>
    </xf>
    <xf numFmtId="0" fontId="6" fillId="0" borderId="13" xfId="0" applyFont="1" applyBorder="1" applyAlignment="1">
      <alignment vertical="top" wrapText="1"/>
    </xf>
    <xf numFmtId="0" fontId="7" fillId="0" borderId="14" xfId="0" applyFont="1" applyBorder="1" applyAlignment="1">
      <alignment vertical="top" wrapText="1"/>
    </xf>
    <xf numFmtId="0" fontId="6" fillId="0" borderId="9" xfId="0" applyFont="1" applyBorder="1" applyAlignment="1">
      <alignment vertical="top" wrapText="1"/>
    </xf>
    <xf numFmtId="0" fontId="7" fillId="4" borderId="9" xfId="0" applyFont="1" applyFill="1" applyBorder="1" applyAlignment="1">
      <alignment vertical="top" wrapText="1"/>
    </xf>
    <xf numFmtId="0" fontId="9" fillId="2" borderId="9" xfId="0" applyFont="1" applyFill="1" applyBorder="1" applyAlignment="1">
      <alignment horizontal="center"/>
    </xf>
    <xf numFmtId="0" fontId="4" fillId="5" borderId="9" xfId="0" applyFont="1" applyFill="1" applyBorder="1" applyAlignment="1">
      <alignment vertical="top" wrapText="1"/>
    </xf>
    <xf numFmtId="0" fontId="7" fillId="0" borderId="14" xfId="0" applyFont="1" applyBorder="1" applyAlignment="1">
      <alignment horizontal="left" vertical="top"/>
    </xf>
    <xf numFmtId="0" fontId="6" fillId="0" borderId="13" xfId="0" applyFont="1" applyBorder="1" applyAlignment="1">
      <alignment horizontal="left" vertical="top" wrapText="1"/>
    </xf>
    <xf numFmtId="0" fontId="4" fillId="3" borderId="9" xfId="0" applyFont="1" applyFill="1" applyBorder="1" applyAlignment="1">
      <alignment horizontal="left" wrapText="1"/>
    </xf>
    <xf numFmtId="0" fontId="6" fillId="0" borderId="9" xfId="0" applyFont="1" applyBorder="1" applyAlignment="1">
      <alignment horizontal="left" vertical="top" wrapText="1"/>
    </xf>
    <xf numFmtId="0" fontId="12" fillId="2" borderId="9" xfId="0" applyFont="1" applyFill="1" applyBorder="1" applyAlignment="1">
      <alignment horizontal="center"/>
    </xf>
    <xf numFmtId="0" fontId="2" fillId="3" borderId="9" xfId="0" applyFont="1" applyFill="1" applyBorder="1" applyAlignment="1">
      <alignment horizontal="left" wrapText="1"/>
    </xf>
    <xf numFmtId="0" fontId="2" fillId="3" borderId="14" xfId="0" applyFont="1" applyFill="1" applyBorder="1" applyAlignment="1">
      <alignment horizontal="left" wrapText="1"/>
    </xf>
    <xf numFmtId="0" fontId="10" fillId="2" borderId="9" xfId="0" applyFont="1" applyFill="1" applyBorder="1" applyAlignment="1">
      <alignment horizontal="center"/>
    </xf>
    <xf numFmtId="0" fontId="4" fillId="3" borderId="12" xfId="0" applyFont="1" applyFill="1" applyBorder="1" applyAlignment="1">
      <alignment horizontal="left" wrapText="1"/>
    </xf>
    <xf numFmtId="0" fontId="11" fillId="0" borderId="13" xfId="0" applyFont="1" applyBorder="1" applyAlignment="1">
      <alignment horizontal="left" vertical="top" wrapText="1"/>
    </xf>
    <xf numFmtId="0" fontId="12" fillId="0" borderId="13" xfId="0" applyFont="1" applyBorder="1" applyAlignment="1">
      <alignment wrapText="1"/>
    </xf>
    <xf numFmtId="0" fontId="12" fillId="0" borderId="9" xfId="0" applyFont="1" applyBorder="1" applyAlignment="1">
      <alignment horizontal="center"/>
    </xf>
    <xf numFmtId="0" fontId="0" fillId="0" borderId="11" xfId="0" applyBorder="1"/>
    <xf numFmtId="0" fontId="7" fillId="4" borderId="9" xfId="0" applyFont="1" applyFill="1" applyBorder="1" applyAlignment="1">
      <alignment horizontal="center" wrapText="1"/>
    </xf>
    <xf numFmtId="0" fontId="0" fillId="0" borderId="14" xfId="0" applyBorder="1"/>
    <xf numFmtId="0" fontId="0" fillId="0" borderId="10" xfId="0" applyBorder="1"/>
    <xf numFmtId="0" fontId="6" fillId="6" borderId="9" xfId="0" applyFont="1" applyFill="1" applyBorder="1" applyAlignment="1">
      <alignment horizontal="center"/>
    </xf>
    <xf numFmtId="0" fontId="2" fillId="4" borderId="9" xfId="0" applyFont="1" applyFill="1" applyBorder="1" applyAlignment="1">
      <alignment wrapText="1"/>
    </xf>
    <xf numFmtId="0" fontId="6" fillId="2" borderId="9" xfId="0" applyFont="1" applyFill="1" applyBorder="1" applyAlignment="1">
      <alignment horizontal="center"/>
    </xf>
    <xf numFmtId="0" fontId="12" fillId="4" borderId="9" xfId="0" applyFont="1" applyFill="1" applyBorder="1" applyAlignment="1">
      <alignment horizontal="left" vertical="top" wrapText="1"/>
    </xf>
    <xf numFmtId="0" fontId="12" fillId="5" borderId="0" xfId="0" applyFont="1" applyFill="1" applyAlignment="1">
      <alignment wrapText="1"/>
    </xf>
    <xf numFmtId="0" fontId="12" fillId="0" borderId="14" xfId="0" applyFont="1" applyBorder="1" applyAlignment="1">
      <alignment wrapText="1"/>
    </xf>
    <xf numFmtId="0" fontId="13" fillId="2" borderId="9" xfId="0" applyFont="1" applyFill="1" applyBorder="1" applyAlignment="1">
      <alignment horizontal="center"/>
    </xf>
    <xf numFmtId="0" fontId="6" fillId="3" borderId="9" xfId="0" applyFont="1" applyFill="1" applyBorder="1" applyAlignment="1">
      <alignment horizontal="center"/>
    </xf>
    <xf numFmtId="0" fontId="12" fillId="0" borderId="10" xfId="0" applyFont="1" applyBorder="1" applyAlignment="1">
      <alignment wrapText="1"/>
    </xf>
    <xf numFmtId="0" fontId="12" fillId="0" borderId="9" xfId="0" applyFont="1" applyBorder="1" applyAlignment="1">
      <alignment wrapText="1"/>
    </xf>
    <xf numFmtId="0" fontId="5" fillId="3" borderId="3" xfId="0" applyFont="1" applyFill="1" applyBorder="1" applyAlignment="1">
      <alignment horizontal="left" wrapText="1"/>
    </xf>
    <xf numFmtId="0" fontId="6" fillId="0" borderId="9" xfId="0" applyFont="1" applyBorder="1"/>
    <xf numFmtId="0" fontId="2" fillId="0" borderId="9" xfId="0" applyFont="1" applyBorder="1" applyAlignment="1">
      <alignment wrapText="1"/>
    </xf>
    <xf numFmtId="0" fontId="12" fillId="5" borderId="0" xfId="0" applyFont="1" applyFill="1" applyAlignment="1">
      <alignment horizontal="left"/>
    </xf>
    <xf numFmtId="0" fontId="21" fillId="2" borderId="9" xfId="0" applyFont="1" applyFill="1" applyBorder="1" applyAlignment="1">
      <alignment horizontal="center" wrapText="1"/>
    </xf>
    <xf numFmtId="0" fontId="5" fillId="2" borderId="9" xfId="0" applyFont="1" applyFill="1" applyBorder="1" applyAlignment="1">
      <alignment horizontal="center" wrapText="1"/>
    </xf>
    <xf numFmtId="0" fontId="12" fillId="2" borderId="9" xfId="0" applyFont="1" applyFill="1" applyBorder="1" applyAlignment="1">
      <alignment horizontal="center" vertical="center" wrapText="1"/>
    </xf>
    <xf numFmtId="0" fontId="19" fillId="4" borderId="9" xfId="0" applyFont="1" applyFill="1" applyBorder="1" applyAlignment="1">
      <alignment horizontal="left" vertical="top" wrapText="1"/>
    </xf>
    <xf numFmtId="0" fontId="21" fillId="0" borderId="0" xfId="0" applyFont="1" applyAlignment="1">
      <alignment horizontal="center" vertical="center"/>
    </xf>
    <xf numFmtId="0" fontId="12" fillId="7" borderId="0" xfId="0" applyFont="1" applyFill="1" applyAlignment="1">
      <alignment horizontal="left"/>
    </xf>
    <xf numFmtId="0" fontId="20" fillId="2" borderId="9" xfId="0" applyFont="1" applyFill="1" applyBorder="1" applyAlignment="1">
      <alignment horizontal="center"/>
    </xf>
    <xf numFmtId="9" fontId="19" fillId="4" borderId="9" xfId="1" applyFont="1" applyFill="1" applyBorder="1" applyAlignment="1">
      <alignment horizontal="center"/>
    </xf>
    <xf numFmtId="9" fontId="23" fillId="4" borderId="9" xfId="1" applyFont="1" applyFill="1" applyBorder="1" applyAlignment="1">
      <alignment horizontal="center"/>
    </xf>
    <xf numFmtId="0" fontId="2" fillId="0" borderId="9" xfId="0" applyFont="1" applyBorder="1"/>
    <xf numFmtId="9" fontId="22" fillId="7" borderId="9" xfId="1" applyFont="1" applyFill="1" applyBorder="1" applyAlignment="1">
      <alignment horizontal="center"/>
    </xf>
  </cellXfs>
  <cellStyles count="2">
    <cellStyle name="Normal" xfId="0" builtinId="0"/>
    <cellStyle name="Percent" xfId="1" builtinId="5"/>
  </cellStyles>
  <dxfs count="36">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2" defaultTableStyle="TableStyleMedium9" defaultPivotStyle="PivotStyleLight16">
    <tableStyle name="Tab 8 - Segment Analysis-style" pivot="0" count="3" xr9:uid="{00000000-0011-0000-FFFF-FFFF00000000}">
      <tableStyleElement type="headerRow" dxfId="35"/>
      <tableStyleElement type="firstRowStripe" dxfId="34"/>
      <tableStyleElement type="secondRowStripe" dxfId="33"/>
    </tableStyle>
    <tableStyle name="Tab 8 - Segment Analysis-style 2" pivot="0" count="3" xr9:uid="{00000000-0011-0000-FFFF-FFFF01000000}">
      <tableStyleElement type="headerRow" dxfId="32"/>
      <tableStyleElement type="firstRowStripe" dxfId="31"/>
      <tableStyleElement type="secondRowStripe" dxfId="30"/>
    </tableStyle>
    <tableStyle name="Tab 8 - Segment Analysis-style 3" pivot="0" count="3" xr9:uid="{00000000-0011-0000-FFFF-FFFF02000000}">
      <tableStyleElement type="headerRow" dxfId="29"/>
      <tableStyleElement type="firstRowStripe" dxfId="28"/>
      <tableStyleElement type="secondRowStripe" dxfId="27"/>
    </tableStyle>
    <tableStyle name="Tab 8 - Segment Analysis-style 4" pivot="0" count="3" xr9:uid="{00000000-0011-0000-FFFF-FFFF03000000}">
      <tableStyleElement type="headerRow" dxfId="26"/>
      <tableStyleElement type="firstRowStripe" dxfId="25"/>
      <tableStyleElement type="secondRowStripe" dxfId="24"/>
    </tableStyle>
    <tableStyle name="Tab 8 - Segment Analysis-style 5" pivot="0" count="3" xr9:uid="{00000000-0011-0000-FFFF-FFFF04000000}">
      <tableStyleElement type="headerRow" dxfId="23"/>
      <tableStyleElement type="firstRowStripe" dxfId="22"/>
      <tableStyleElement type="secondRowStripe" dxfId="21"/>
    </tableStyle>
    <tableStyle name="Tab 8 - Segment Analysis-style 6" pivot="0" count="3" xr9:uid="{00000000-0011-0000-FFFF-FFFF05000000}">
      <tableStyleElement type="headerRow" dxfId="20"/>
      <tableStyleElement type="firstRowStripe" dxfId="19"/>
      <tableStyleElement type="secondRowStripe" dxfId="18"/>
    </tableStyle>
    <tableStyle name="Tab 8 - Segment Analysis-style 7" pivot="0" count="3" xr9:uid="{00000000-0011-0000-FFFF-FFFF06000000}">
      <tableStyleElement type="headerRow" dxfId="17"/>
      <tableStyleElement type="firstRowStripe" dxfId="16"/>
      <tableStyleElement type="secondRowStripe" dxfId="15"/>
    </tableStyle>
    <tableStyle name="Tab 8 - Segment Analysis-style 8" pivot="0" count="3" xr9:uid="{00000000-0011-0000-FFFF-FFFF07000000}">
      <tableStyleElement type="headerRow" dxfId="14"/>
      <tableStyleElement type="firstRowStripe" dxfId="13"/>
      <tableStyleElement type="secondRowStripe" dxfId="12"/>
    </tableStyle>
    <tableStyle name="Tab 8 - Segment Analysis-style 9" pivot="0" count="3" xr9:uid="{00000000-0011-0000-FFFF-FFFF08000000}">
      <tableStyleElement type="headerRow" dxfId="11"/>
      <tableStyleElement type="firstRowStripe" dxfId="10"/>
      <tableStyleElement type="secondRowStripe" dxfId="9"/>
    </tableStyle>
    <tableStyle name="Tab 8 - Segment Analysis-style 10" pivot="0" count="3" xr9:uid="{00000000-0011-0000-FFFF-FFFF09000000}">
      <tableStyleElement type="headerRow" dxfId="8"/>
      <tableStyleElement type="firstRowStripe" dxfId="7"/>
      <tableStyleElement type="secondRowStripe" dxfId="6"/>
    </tableStyle>
    <tableStyle name="Tab 8 - Segment Analysis-style 11" pivot="0" count="3" xr9:uid="{00000000-0011-0000-FFFF-FFFF0A000000}">
      <tableStyleElement type="headerRow" dxfId="5"/>
      <tableStyleElement type="firstRowStripe" dxfId="4"/>
      <tableStyleElement type="secondRowStripe" dxfId="3"/>
    </tableStyle>
    <tableStyle name="Tab 8 - Segment Analysis-style 12" pivot="0" count="3" xr9:uid="{00000000-0011-0000-FFFF-FFFF0B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4"/>
          <c:tx>
            <c:strRef>
              <c:f>'Tab 4 - Habit Moment and Metric'!$F$40:$F$41</c:f>
              <c:strCache>
                <c:ptCount val="2"/>
                <c:pt idx="0">
                  <c:v>User</c:v>
                </c:pt>
                <c:pt idx="1">
                  <c:v>% Overlap</c:v>
                </c:pt>
              </c:strCache>
            </c:strRef>
          </c:tx>
          <c:spPr>
            <a:ln w="28575" cap="rnd">
              <a:solidFill>
                <a:schemeClr val="accent5"/>
              </a:solidFill>
              <a:round/>
            </a:ln>
            <a:effectLst/>
          </c:spPr>
          <c:marker>
            <c:symbol val="none"/>
          </c:marker>
          <c:cat>
            <c:strRef>
              <c:f>'Tab 4 - Habit Moment and Metric'!$A$42:$A$48</c:f>
              <c:strCache>
                <c:ptCount val="7"/>
                <c:pt idx="0">
                  <c:v>1+</c:v>
                </c:pt>
                <c:pt idx="1">
                  <c:v>2+</c:v>
                </c:pt>
                <c:pt idx="2">
                  <c:v>3+</c:v>
                </c:pt>
                <c:pt idx="3">
                  <c:v>4+</c:v>
                </c:pt>
                <c:pt idx="4">
                  <c:v>5+</c:v>
                </c:pt>
                <c:pt idx="5">
                  <c:v>6+</c:v>
                </c:pt>
                <c:pt idx="6">
                  <c:v>7+</c:v>
                </c:pt>
              </c:strCache>
            </c:strRef>
          </c:cat>
          <c:val>
            <c:numRef>
              <c:f>'Tab 4 - Habit Moment and Metric'!$F$42:$F$48</c:f>
              <c:numCache>
                <c:formatCode>0%</c:formatCode>
                <c:ptCount val="7"/>
                <c:pt idx="0">
                  <c:v>0.46639999999999998</c:v>
                </c:pt>
                <c:pt idx="1">
                  <c:v>0.45669999999999999</c:v>
                </c:pt>
                <c:pt idx="2">
                  <c:v>0.45579999999999998</c:v>
                </c:pt>
                <c:pt idx="3">
                  <c:v>0.44890000000000002</c:v>
                </c:pt>
                <c:pt idx="4">
                  <c:v>0.43109999999999998</c:v>
                </c:pt>
                <c:pt idx="5">
                  <c:v>0.43430000000000002</c:v>
                </c:pt>
                <c:pt idx="6">
                  <c:v>0.42859999999999998</c:v>
                </c:pt>
              </c:numCache>
            </c:numRef>
          </c:val>
          <c:smooth val="0"/>
          <c:extLst>
            <c:ext xmlns:c16="http://schemas.microsoft.com/office/drawing/2014/chart" uri="{C3380CC4-5D6E-409C-BE32-E72D297353CC}">
              <c16:uniqueId val="{00000004-7553-4955-B26F-6BCFBF0D3FBD}"/>
            </c:ext>
          </c:extLst>
        </c:ser>
        <c:dLbls>
          <c:showLegendKey val="0"/>
          <c:showVal val="0"/>
          <c:showCatName val="0"/>
          <c:showSerName val="0"/>
          <c:showPercent val="0"/>
          <c:showBubbleSize val="0"/>
        </c:dLbls>
        <c:smooth val="0"/>
        <c:axId val="461557440"/>
        <c:axId val="461547360"/>
        <c:extLst>
          <c:ext xmlns:c15="http://schemas.microsoft.com/office/drawing/2012/chart" uri="{02D57815-91ED-43cb-92C2-25804820EDAC}">
            <c15:filteredLineSeries>
              <c15:ser>
                <c:idx val="0"/>
                <c:order val="0"/>
                <c:tx>
                  <c:strRef>
                    <c:extLst>
                      <c:ext uri="{02D57815-91ED-43cb-92C2-25804820EDAC}">
                        <c15:formulaRef>
                          <c15:sqref>'Tab 4 - Habit Moment and Metric'!$B$40:$B$41</c15:sqref>
                        </c15:formulaRef>
                      </c:ext>
                    </c:extLst>
                    <c:strCache>
                      <c:ptCount val="2"/>
                      <c:pt idx="0">
                        <c:v>User</c:v>
                      </c:pt>
                      <c:pt idx="1">
                        <c:v>Action Completed</c:v>
                      </c:pt>
                    </c:strCache>
                  </c:strRef>
                </c:tx>
                <c:spPr>
                  <a:ln w="28575" cap="rnd">
                    <a:solidFill>
                      <a:schemeClr val="accent1"/>
                    </a:solidFill>
                    <a:round/>
                  </a:ln>
                  <a:effectLst/>
                </c:spPr>
                <c:marker>
                  <c:symbol val="none"/>
                </c:marker>
                <c:cat>
                  <c:strRef>
                    <c:extLst>
                      <c:ext uri="{02D57815-91ED-43cb-92C2-25804820EDAC}">
                        <c15:formulaRef>
                          <c15:sqref>'Tab 4 - Habit Moment and Metric'!$A$42:$A$48</c15:sqref>
                        </c15:formulaRef>
                      </c:ext>
                    </c:extLst>
                    <c:strCache>
                      <c:ptCount val="7"/>
                      <c:pt idx="0">
                        <c:v>1+</c:v>
                      </c:pt>
                      <c:pt idx="1">
                        <c:v>2+</c:v>
                      </c:pt>
                      <c:pt idx="2">
                        <c:v>3+</c:v>
                      </c:pt>
                      <c:pt idx="3">
                        <c:v>4+</c:v>
                      </c:pt>
                      <c:pt idx="4">
                        <c:v>5+</c:v>
                      </c:pt>
                      <c:pt idx="5">
                        <c:v>6+</c:v>
                      </c:pt>
                      <c:pt idx="6">
                        <c:v>7+</c:v>
                      </c:pt>
                    </c:strCache>
                  </c:strRef>
                </c:cat>
                <c:val>
                  <c:numRef>
                    <c:extLst>
                      <c:ext uri="{02D57815-91ED-43cb-92C2-25804820EDAC}">
                        <c15:formulaRef>
                          <c15:sqref>'Tab 4 - Habit Moment and Metric'!$B$42:$B$48</c15:sqref>
                        </c15:formulaRef>
                      </c:ext>
                    </c:extLst>
                    <c:numCache>
                      <c:formatCode>General</c:formatCode>
                      <c:ptCount val="7"/>
                      <c:pt idx="0">
                        <c:v>397</c:v>
                      </c:pt>
                      <c:pt idx="1">
                        <c:v>270</c:v>
                      </c:pt>
                      <c:pt idx="2">
                        <c:v>215</c:v>
                      </c:pt>
                      <c:pt idx="3">
                        <c:v>152</c:v>
                      </c:pt>
                      <c:pt idx="4">
                        <c:v>104</c:v>
                      </c:pt>
                      <c:pt idx="5">
                        <c:v>59</c:v>
                      </c:pt>
                      <c:pt idx="6">
                        <c:v>24</c:v>
                      </c:pt>
                    </c:numCache>
                  </c:numRef>
                </c:val>
                <c:smooth val="0"/>
                <c:extLst>
                  <c:ext xmlns:c16="http://schemas.microsoft.com/office/drawing/2014/chart" uri="{C3380CC4-5D6E-409C-BE32-E72D297353CC}">
                    <c16:uniqueId val="{00000000-7553-4955-B26F-6BCFBF0D3FBD}"/>
                  </c:ext>
                </c:extLst>
              </c15:ser>
            </c15:filteredLineSeries>
            <c15:filteredLineSeries>
              <c15:ser>
                <c:idx val="1"/>
                <c:order val="1"/>
                <c:tx>
                  <c:strRef>
                    <c:extLst>
                      <c:ext xmlns:c15="http://schemas.microsoft.com/office/drawing/2012/chart" uri="{02D57815-91ED-43cb-92C2-25804820EDAC}">
                        <c15:formulaRef>
                          <c15:sqref>'Tab 4 - Habit Moment and Metric'!$C$40:$C$41</c15:sqref>
                        </c15:formulaRef>
                      </c:ext>
                    </c:extLst>
                    <c:strCache>
                      <c:ptCount val="2"/>
                      <c:pt idx="0">
                        <c:v>User</c:v>
                      </c:pt>
                      <c:pt idx="1">
                        <c:v>Retained + Action NOT completed</c:v>
                      </c:pt>
                    </c:strCache>
                  </c:strRef>
                </c:tx>
                <c:spPr>
                  <a:ln w="28575" cap="rnd">
                    <a:solidFill>
                      <a:schemeClr val="accent2"/>
                    </a:solidFill>
                    <a:round/>
                  </a:ln>
                  <a:effectLst/>
                </c:spPr>
                <c:marker>
                  <c:symbol val="none"/>
                </c:marker>
                <c:cat>
                  <c:strRef>
                    <c:extLst>
                      <c:ext xmlns:c15="http://schemas.microsoft.com/office/drawing/2012/chart" uri="{02D57815-91ED-43cb-92C2-25804820EDAC}">
                        <c15:formulaRef>
                          <c15:sqref>'Tab 4 - Habit Moment and Metric'!$A$42:$A$48</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4 - Habit Moment and Metric'!$C$42:$C$48</c15:sqref>
                        </c15:formulaRef>
                      </c:ext>
                    </c:extLst>
                    <c:numCache>
                      <c:formatCode>General</c:formatCode>
                      <c:ptCount val="7"/>
                      <c:pt idx="0">
                        <c:v>139</c:v>
                      </c:pt>
                      <c:pt idx="1">
                        <c:v>146</c:v>
                      </c:pt>
                      <c:pt idx="2">
                        <c:v>158</c:v>
                      </c:pt>
                      <c:pt idx="3">
                        <c:v>171</c:v>
                      </c:pt>
                      <c:pt idx="4">
                        <c:v>179</c:v>
                      </c:pt>
                      <c:pt idx="5">
                        <c:v>192</c:v>
                      </c:pt>
                      <c:pt idx="6">
                        <c:v>214</c:v>
                      </c:pt>
                    </c:numCache>
                  </c:numRef>
                </c:val>
                <c:smooth val="0"/>
                <c:extLst>
                  <c:ext xmlns:c16="http://schemas.microsoft.com/office/drawing/2014/chart" uri="{C3380CC4-5D6E-409C-BE32-E72D297353CC}">
                    <c16:uniqueId val="{00000001-7553-4955-B26F-6BCFBF0D3FBD}"/>
                  </c:ext>
                </c:extLst>
              </c15:ser>
            </c15:filteredLineSeries>
            <c15:filteredLineSeries>
              <c15:ser>
                <c:idx val="2"/>
                <c:order val="2"/>
                <c:tx>
                  <c:strRef>
                    <c:extLst>
                      <c:ext xmlns:c15="http://schemas.microsoft.com/office/drawing/2012/chart" uri="{02D57815-91ED-43cb-92C2-25804820EDAC}">
                        <c15:formulaRef>
                          <c15:sqref>'Tab 4 - Habit Moment and Metric'!$D$40:$D$41</c15:sqref>
                        </c15:formulaRef>
                      </c:ext>
                    </c:extLst>
                    <c:strCache>
                      <c:ptCount val="2"/>
                      <c:pt idx="0">
                        <c:v>User</c:v>
                      </c:pt>
                      <c:pt idx="1">
                        <c:v>Retained + Action completed</c:v>
                      </c:pt>
                    </c:strCache>
                  </c:strRef>
                </c:tx>
                <c:spPr>
                  <a:ln w="28575" cap="rnd">
                    <a:solidFill>
                      <a:schemeClr val="accent3"/>
                    </a:solidFill>
                    <a:round/>
                  </a:ln>
                  <a:effectLst/>
                </c:spPr>
                <c:marker>
                  <c:symbol val="none"/>
                </c:marker>
                <c:cat>
                  <c:strRef>
                    <c:extLst>
                      <c:ext xmlns:c15="http://schemas.microsoft.com/office/drawing/2012/chart" uri="{02D57815-91ED-43cb-92C2-25804820EDAC}">
                        <c15:formulaRef>
                          <c15:sqref>'Tab 4 - Habit Moment and Metric'!$A$42:$A$48</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4 - Habit Moment and Metric'!$D$42:$D$48</c15:sqref>
                        </c15:formulaRef>
                      </c:ext>
                    </c:extLst>
                    <c:numCache>
                      <c:formatCode>General</c:formatCode>
                      <c:ptCount val="7"/>
                      <c:pt idx="0">
                        <c:v>250</c:v>
                      </c:pt>
                      <c:pt idx="1">
                        <c:v>190</c:v>
                      </c:pt>
                      <c:pt idx="2">
                        <c:v>170</c:v>
                      </c:pt>
                      <c:pt idx="3">
                        <c:v>145</c:v>
                      </c:pt>
                      <c:pt idx="4">
                        <c:v>122</c:v>
                      </c:pt>
                      <c:pt idx="5">
                        <c:v>109</c:v>
                      </c:pt>
                      <c:pt idx="6">
                        <c:v>102</c:v>
                      </c:pt>
                    </c:numCache>
                  </c:numRef>
                </c:val>
                <c:smooth val="0"/>
                <c:extLst>
                  <c:ext xmlns:c16="http://schemas.microsoft.com/office/drawing/2014/chart" uri="{C3380CC4-5D6E-409C-BE32-E72D297353CC}">
                    <c16:uniqueId val="{00000002-7553-4955-B26F-6BCFBF0D3FBD}"/>
                  </c:ext>
                </c:extLst>
              </c15:ser>
            </c15:filteredLineSeries>
            <c15:filteredLineSeries>
              <c15:ser>
                <c:idx val="3"/>
                <c:order val="3"/>
                <c:tx>
                  <c:strRef>
                    <c:extLst>
                      <c:ext xmlns:c15="http://schemas.microsoft.com/office/drawing/2012/chart" uri="{02D57815-91ED-43cb-92C2-25804820EDAC}">
                        <c15:formulaRef>
                          <c15:sqref>'Tab 4 - Habit Moment and Metric'!$E$40:$E$41</c15:sqref>
                        </c15:formulaRef>
                      </c:ext>
                    </c:extLst>
                    <c:strCache>
                      <c:ptCount val="2"/>
                      <c:pt idx="0">
                        <c:v>User</c:v>
                      </c:pt>
                      <c:pt idx="1">
                        <c:v>Total Users</c:v>
                      </c:pt>
                    </c:strCache>
                  </c:strRef>
                </c:tx>
                <c:spPr>
                  <a:ln w="28575" cap="rnd">
                    <a:solidFill>
                      <a:schemeClr val="accent4"/>
                    </a:solidFill>
                    <a:round/>
                  </a:ln>
                  <a:effectLst/>
                </c:spPr>
                <c:marker>
                  <c:symbol val="none"/>
                </c:marker>
                <c:cat>
                  <c:strRef>
                    <c:extLst>
                      <c:ext xmlns:c15="http://schemas.microsoft.com/office/drawing/2012/chart" uri="{02D57815-91ED-43cb-92C2-25804820EDAC}">
                        <c15:formulaRef>
                          <c15:sqref>'Tab 4 - Habit Moment and Metric'!$A$42:$A$48</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4 - Habit Moment and Metric'!$E$42:$E$48</c15:sqref>
                        </c15:formulaRef>
                      </c:ext>
                    </c:extLst>
                    <c:numCache>
                      <c:formatCode>#,##0</c:formatCode>
                      <c:ptCount val="7"/>
                      <c:pt idx="0">
                        <c:v>536</c:v>
                      </c:pt>
                      <c:pt idx="1">
                        <c:v>416</c:v>
                      </c:pt>
                      <c:pt idx="2">
                        <c:v>373</c:v>
                      </c:pt>
                      <c:pt idx="3">
                        <c:v>323</c:v>
                      </c:pt>
                      <c:pt idx="4">
                        <c:v>283</c:v>
                      </c:pt>
                      <c:pt idx="5">
                        <c:v>251</c:v>
                      </c:pt>
                      <c:pt idx="6">
                        <c:v>238</c:v>
                      </c:pt>
                    </c:numCache>
                  </c:numRef>
                </c:val>
                <c:smooth val="0"/>
                <c:extLst>
                  <c:ext xmlns:c16="http://schemas.microsoft.com/office/drawing/2014/chart" uri="{C3380CC4-5D6E-409C-BE32-E72D297353CC}">
                    <c16:uniqueId val="{00000003-7553-4955-B26F-6BCFBF0D3FBD}"/>
                  </c:ext>
                </c:extLst>
              </c15:ser>
            </c15:filteredLineSeries>
          </c:ext>
        </c:extLst>
      </c:lineChart>
      <c:catAx>
        <c:axId val="46155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47360"/>
        <c:crosses val="autoZero"/>
        <c:auto val="1"/>
        <c:lblAlgn val="ctr"/>
        <c:lblOffset val="100"/>
        <c:noMultiLvlLbl val="0"/>
      </c:catAx>
      <c:valAx>
        <c:axId val="4615473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574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4"/>
          <c:tx>
            <c:strRef>
              <c:f>'Tab 4 - Habit Moment and Metric'!$F$28:$F$29</c:f>
              <c:strCache>
                <c:ptCount val="2"/>
                <c:pt idx="0">
                  <c:v>User</c:v>
                </c:pt>
                <c:pt idx="1">
                  <c:v>% Overlap</c:v>
                </c:pt>
              </c:strCache>
            </c:strRef>
          </c:tx>
          <c:spPr>
            <a:ln w="28575" cap="rnd">
              <a:solidFill>
                <a:schemeClr val="accent5"/>
              </a:solidFill>
              <a:round/>
            </a:ln>
            <a:effectLst/>
          </c:spPr>
          <c:marker>
            <c:symbol val="none"/>
          </c:marker>
          <c:cat>
            <c:strRef>
              <c:f>'Tab 4 - Habit Moment and Metric'!$A$30:$A$36</c:f>
              <c:strCache>
                <c:ptCount val="7"/>
                <c:pt idx="0">
                  <c:v>1+</c:v>
                </c:pt>
                <c:pt idx="1">
                  <c:v>2+</c:v>
                </c:pt>
                <c:pt idx="2">
                  <c:v>3+</c:v>
                </c:pt>
                <c:pt idx="3">
                  <c:v>4+</c:v>
                </c:pt>
                <c:pt idx="4">
                  <c:v>5+</c:v>
                </c:pt>
                <c:pt idx="5">
                  <c:v>6+</c:v>
                </c:pt>
                <c:pt idx="6">
                  <c:v>7+</c:v>
                </c:pt>
              </c:strCache>
            </c:strRef>
          </c:cat>
          <c:val>
            <c:numRef>
              <c:f>'Tab 4 - Habit Moment and Metric'!$F$30:$F$36</c:f>
              <c:numCache>
                <c:formatCode>0%</c:formatCode>
                <c:ptCount val="7"/>
                <c:pt idx="0">
                  <c:v>0.34949999999999998</c:v>
                </c:pt>
                <c:pt idx="1">
                  <c:v>0.4017</c:v>
                </c:pt>
                <c:pt idx="2">
                  <c:v>0.45269999999999999</c:v>
                </c:pt>
                <c:pt idx="3">
                  <c:v>0.45429999999999998</c:v>
                </c:pt>
                <c:pt idx="4">
                  <c:v>0.43830000000000002</c:v>
                </c:pt>
                <c:pt idx="5">
                  <c:v>0.4461</c:v>
                </c:pt>
                <c:pt idx="6">
                  <c:v>0.4264</c:v>
                </c:pt>
              </c:numCache>
            </c:numRef>
          </c:val>
          <c:smooth val="0"/>
          <c:extLst>
            <c:ext xmlns:c16="http://schemas.microsoft.com/office/drawing/2014/chart" uri="{C3380CC4-5D6E-409C-BE32-E72D297353CC}">
              <c16:uniqueId val="{00000004-21E6-4934-B849-B208B53BE3DF}"/>
            </c:ext>
          </c:extLst>
        </c:ser>
        <c:dLbls>
          <c:showLegendKey val="0"/>
          <c:showVal val="0"/>
          <c:showCatName val="0"/>
          <c:showSerName val="0"/>
          <c:showPercent val="0"/>
          <c:showBubbleSize val="0"/>
        </c:dLbls>
        <c:smooth val="0"/>
        <c:axId val="461574240"/>
        <c:axId val="461574720"/>
        <c:extLst>
          <c:ext xmlns:c15="http://schemas.microsoft.com/office/drawing/2012/chart" uri="{02D57815-91ED-43cb-92C2-25804820EDAC}">
            <c15:filteredLineSeries>
              <c15:ser>
                <c:idx val="0"/>
                <c:order val="0"/>
                <c:tx>
                  <c:strRef>
                    <c:extLst>
                      <c:ext uri="{02D57815-91ED-43cb-92C2-25804820EDAC}">
                        <c15:formulaRef>
                          <c15:sqref>'Tab 4 - Habit Moment and Metric'!$B$28:$B$29</c15:sqref>
                        </c15:formulaRef>
                      </c:ext>
                    </c:extLst>
                    <c:strCache>
                      <c:ptCount val="2"/>
                      <c:pt idx="0">
                        <c:v>User</c:v>
                      </c:pt>
                      <c:pt idx="1">
                        <c:v>Action Completed</c:v>
                      </c:pt>
                    </c:strCache>
                  </c:strRef>
                </c:tx>
                <c:spPr>
                  <a:ln w="28575" cap="rnd">
                    <a:solidFill>
                      <a:schemeClr val="accent1"/>
                    </a:solidFill>
                    <a:round/>
                  </a:ln>
                  <a:effectLst/>
                </c:spPr>
                <c:marker>
                  <c:symbol val="none"/>
                </c:marker>
                <c:cat>
                  <c:strRef>
                    <c:extLst>
                      <c:ext uri="{02D57815-91ED-43cb-92C2-25804820EDAC}">
                        <c15:formulaRef>
                          <c15:sqref>'Tab 4 - Habit Moment and Metric'!$A$30:$A$36</c15:sqref>
                        </c15:formulaRef>
                      </c:ext>
                    </c:extLst>
                    <c:strCache>
                      <c:ptCount val="7"/>
                      <c:pt idx="0">
                        <c:v>1+</c:v>
                      </c:pt>
                      <c:pt idx="1">
                        <c:v>2+</c:v>
                      </c:pt>
                      <c:pt idx="2">
                        <c:v>3+</c:v>
                      </c:pt>
                      <c:pt idx="3">
                        <c:v>4+</c:v>
                      </c:pt>
                      <c:pt idx="4">
                        <c:v>5+</c:v>
                      </c:pt>
                      <c:pt idx="5">
                        <c:v>6+</c:v>
                      </c:pt>
                      <c:pt idx="6">
                        <c:v>7+</c:v>
                      </c:pt>
                    </c:strCache>
                  </c:strRef>
                </c:cat>
                <c:val>
                  <c:numRef>
                    <c:extLst>
                      <c:ext uri="{02D57815-91ED-43cb-92C2-25804820EDAC}">
                        <c15:formulaRef>
                          <c15:sqref>'Tab 4 - Habit Moment and Metric'!$B$30:$B$36</c15:sqref>
                        </c15:formulaRef>
                      </c:ext>
                    </c:extLst>
                    <c:numCache>
                      <c:formatCode>General</c:formatCode>
                      <c:ptCount val="7"/>
                      <c:pt idx="0">
                        <c:v>1104</c:v>
                      </c:pt>
                      <c:pt idx="1">
                        <c:v>690</c:v>
                      </c:pt>
                      <c:pt idx="2">
                        <c:v>552</c:v>
                      </c:pt>
                      <c:pt idx="3">
                        <c:v>460</c:v>
                      </c:pt>
                      <c:pt idx="4">
                        <c:v>428</c:v>
                      </c:pt>
                      <c:pt idx="5">
                        <c:v>352</c:v>
                      </c:pt>
                      <c:pt idx="6">
                        <c:v>310</c:v>
                      </c:pt>
                    </c:numCache>
                  </c:numRef>
                </c:val>
                <c:smooth val="0"/>
                <c:extLst>
                  <c:ext xmlns:c16="http://schemas.microsoft.com/office/drawing/2014/chart" uri="{C3380CC4-5D6E-409C-BE32-E72D297353CC}">
                    <c16:uniqueId val="{00000000-21E6-4934-B849-B208B53BE3DF}"/>
                  </c:ext>
                </c:extLst>
              </c15:ser>
            </c15:filteredLineSeries>
            <c15:filteredLineSeries>
              <c15:ser>
                <c:idx val="1"/>
                <c:order val="1"/>
                <c:tx>
                  <c:strRef>
                    <c:extLst>
                      <c:ext xmlns:c15="http://schemas.microsoft.com/office/drawing/2012/chart" uri="{02D57815-91ED-43cb-92C2-25804820EDAC}">
                        <c15:formulaRef>
                          <c15:sqref>'Tab 4 - Habit Moment and Metric'!$C$28:$C$29</c15:sqref>
                        </c15:formulaRef>
                      </c:ext>
                    </c:extLst>
                    <c:strCache>
                      <c:ptCount val="2"/>
                      <c:pt idx="0">
                        <c:v>User</c:v>
                      </c:pt>
                      <c:pt idx="1">
                        <c:v>Retained + Action NOT completed</c:v>
                      </c:pt>
                    </c:strCache>
                  </c:strRef>
                </c:tx>
                <c:spPr>
                  <a:ln w="28575" cap="rnd">
                    <a:solidFill>
                      <a:schemeClr val="accent2"/>
                    </a:solidFill>
                    <a:round/>
                  </a:ln>
                  <a:effectLst/>
                </c:spPr>
                <c:marker>
                  <c:symbol val="none"/>
                </c:marker>
                <c:cat>
                  <c:strRef>
                    <c:extLst>
                      <c:ext xmlns:c15="http://schemas.microsoft.com/office/drawing/2012/chart" uri="{02D57815-91ED-43cb-92C2-25804820EDAC}">
                        <c15:formulaRef>
                          <c15:sqref>'Tab 4 - Habit Moment and Metric'!$A$30:$A$36</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4 - Habit Moment and Metric'!$C$30:$C$36</c15:sqref>
                        </c15:formulaRef>
                      </c:ext>
                    </c:extLst>
                    <c:numCache>
                      <c:formatCode>General</c:formatCode>
                      <c:ptCount val="7"/>
                      <c:pt idx="0">
                        <c:v>192</c:v>
                      </c:pt>
                      <c:pt idx="1">
                        <c:v>373</c:v>
                      </c:pt>
                      <c:pt idx="2">
                        <c:v>358</c:v>
                      </c:pt>
                      <c:pt idx="3">
                        <c:v>372</c:v>
                      </c:pt>
                      <c:pt idx="4">
                        <c:v>391</c:v>
                      </c:pt>
                      <c:pt idx="5">
                        <c:v>334</c:v>
                      </c:pt>
                      <c:pt idx="6">
                        <c:v>363</c:v>
                      </c:pt>
                    </c:numCache>
                  </c:numRef>
                </c:val>
                <c:smooth val="0"/>
                <c:extLst>
                  <c:ext xmlns:c16="http://schemas.microsoft.com/office/drawing/2014/chart" uri="{C3380CC4-5D6E-409C-BE32-E72D297353CC}">
                    <c16:uniqueId val="{00000001-21E6-4934-B849-B208B53BE3DF}"/>
                  </c:ext>
                </c:extLst>
              </c15:ser>
            </c15:filteredLineSeries>
            <c15:filteredLineSeries>
              <c15:ser>
                <c:idx val="2"/>
                <c:order val="2"/>
                <c:tx>
                  <c:strRef>
                    <c:extLst>
                      <c:ext xmlns:c15="http://schemas.microsoft.com/office/drawing/2012/chart" uri="{02D57815-91ED-43cb-92C2-25804820EDAC}">
                        <c15:formulaRef>
                          <c15:sqref>'Tab 4 - Habit Moment and Metric'!$D$28:$D$29</c15:sqref>
                        </c15:formulaRef>
                      </c:ext>
                    </c:extLst>
                    <c:strCache>
                      <c:ptCount val="2"/>
                      <c:pt idx="0">
                        <c:v>User</c:v>
                      </c:pt>
                      <c:pt idx="1">
                        <c:v>Retained + Action completed</c:v>
                      </c:pt>
                    </c:strCache>
                  </c:strRef>
                </c:tx>
                <c:spPr>
                  <a:ln w="28575" cap="rnd">
                    <a:solidFill>
                      <a:schemeClr val="accent3"/>
                    </a:solidFill>
                    <a:round/>
                  </a:ln>
                  <a:effectLst/>
                </c:spPr>
                <c:marker>
                  <c:symbol val="none"/>
                </c:marker>
                <c:cat>
                  <c:strRef>
                    <c:extLst>
                      <c:ext xmlns:c15="http://schemas.microsoft.com/office/drawing/2012/chart" uri="{02D57815-91ED-43cb-92C2-25804820EDAC}">
                        <c15:formulaRef>
                          <c15:sqref>'Tab 4 - Habit Moment and Metric'!$A$30:$A$36</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4 - Habit Moment and Metric'!$D$30:$D$36</c15:sqref>
                        </c15:formulaRef>
                      </c:ext>
                    </c:extLst>
                    <c:numCache>
                      <c:formatCode>General</c:formatCode>
                      <c:ptCount val="7"/>
                      <c:pt idx="0">
                        <c:v>453</c:v>
                      </c:pt>
                      <c:pt idx="1">
                        <c:v>427</c:v>
                      </c:pt>
                      <c:pt idx="2">
                        <c:v>412</c:v>
                      </c:pt>
                      <c:pt idx="3">
                        <c:v>378</c:v>
                      </c:pt>
                      <c:pt idx="4">
                        <c:v>359</c:v>
                      </c:pt>
                      <c:pt idx="5">
                        <c:v>306</c:v>
                      </c:pt>
                      <c:pt idx="6">
                        <c:v>287</c:v>
                      </c:pt>
                    </c:numCache>
                  </c:numRef>
                </c:val>
                <c:smooth val="0"/>
                <c:extLst>
                  <c:ext xmlns:c16="http://schemas.microsoft.com/office/drawing/2014/chart" uri="{C3380CC4-5D6E-409C-BE32-E72D297353CC}">
                    <c16:uniqueId val="{00000002-21E6-4934-B849-B208B53BE3DF}"/>
                  </c:ext>
                </c:extLst>
              </c15:ser>
            </c15:filteredLineSeries>
            <c15:filteredLineSeries>
              <c15:ser>
                <c:idx val="3"/>
                <c:order val="3"/>
                <c:tx>
                  <c:strRef>
                    <c:extLst>
                      <c:ext xmlns:c15="http://schemas.microsoft.com/office/drawing/2012/chart" uri="{02D57815-91ED-43cb-92C2-25804820EDAC}">
                        <c15:formulaRef>
                          <c15:sqref>'Tab 4 - Habit Moment and Metric'!$E$28:$E$29</c15:sqref>
                        </c15:formulaRef>
                      </c:ext>
                    </c:extLst>
                    <c:strCache>
                      <c:ptCount val="2"/>
                      <c:pt idx="0">
                        <c:v>User</c:v>
                      </c:pt>
                      <c:pt idx="1">
                        <c:v>Total Users</c:v>
                      </c:pt>
                    </c:strCache>
                  </c:strRef>
                </c:tx>
                <c:spPr>
                  <a:ln w="28575" cap="rnd">
                    <a:solidFill>
                      <a:schemeClr val="accent4"/>
                    </a:solidFill>
                    <a:round/>
                  </a:ln>
                  <a:effectLst/>
                </c:spPr>
                <c:marker>
                  <c:symbol val="none"/>
                </c:marker>
                <c:cat>
                  <c:strRef>
                    <c:extLst>
                      <c:ext xmlns:c15="http://schemas.microsoft.com/office/drawing/2012/chart" uri="{02D57815-91ED-43cb-92C2-25804820EDAC}">
                        <c15:formulaRef>
                          <c15:sqref>'Tab 4 - Habit Moment and Metric'!$A$30:$A$36</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4 - Habit Moment and Metric'!$E$30:$E$36</c15:sqref>
                        </c15:formulaRef>
                      </c:ext>
                    </c:extLst>
                    <c:numCache>
                      <c:formatCode>#,##0</c:formatCode>
                      <c:ptCount val="7"/>
                      <c:pt idx="0">
                        <c:v>1296</c:v>
                      </c:pt>
                      <c:pt idx="1">
                        <c:v>1063</c:v>
                      </c:pt>
                      <c:pt idx="2">
                        <c:v>910</c:v>
                      </c:pt>
                      <c:pt idx="3">
                        <c:v>832</c:v>
                      </c:pt>
                      <c:pt idx="4">
                        <c:v>819</c:v>
                      </c:pt>
                      <c:pt idx="5">
                        <c:v>686</c:v>
                      </c:pt>
                      <c:pt idx="6">
                        <c:v>673</c:v>
                      </c:pt>
                    </c:numCache>
                  </c:numRef>
                </c:val>
                <c:smooth val="0"/>
                <c:extLst>
                  <c:ext xmlns:c16="http://schemas.microsoft.com/office/drawing/2014/chart" uri="{C3380CC4-5D6E-409C-BE32-E72D297353CC}">
                    <c16:uniqueId val="{00000003-21E6-4934-B849-B208B53BE3DF}"/>
                  </c:ext>
                </c:extLst>
              </c15:ser>
            </c15:filteredLineSeries>
          </c:ext>
        </c:extLst>
      </c:lineChart>
      <c:catAx>
        <c:axId val="46157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74720"/>
        <c:crosses val="autoZero"/>
        <c:auto val="1"/>
        <c:lblAlgn val="ctr"/>
        <c:lblOffset val="100"/>
        <c:noMultiLvlLbl val="0"/>
      </c:catAx>
      <c:valAx>
        <c:axId val="461574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74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5"/>
          <c:tx>
            <c:strRef>
              <c:f>'Tab 4 - Habit Moment and Metric'!$F$16:$F$17</c:f>
              <c:strCache>
                <c:ptCount val="2"/>
                <c:pt idx="0">
                  <c:v>User</c:v>
                </c:pt>
                <c:pt idx="1">
                  <c:v>% Overlap</c:v>
                </c:pt>
              </c:strCache>
            </c:strRef>
          </c:tx>
          <c:spPr>
            <a:ln w="28575" cap="rnd">
              <a:solidFill>
                <a:schemeClr val="accent6"/>
              </a:solidFill>
              <a:round/>
            </a:ln>
            <a:effectLst/>
          </c:spPr>
          <c:marker>
            <c:symbol val="none"/>
          </c:marker>
          <c:cat>
            <c:numRef>
              <c:f>'Tab 4 - Habit Moment and Metric'!$A$18:$A$24</c:f>
              <c:numCache>
                <c:formatCode>General</c:formatCode>
                <c:ptCount val="7"/>
                <c:pt idx="0">
                  <c:v>100</c:v>
                </c:pt>
                <c:pt idx="1">
                  <c:v>500</c:v>
                </c:pt>
                <c:pt idx="2">
                  <c:v>1000</c:v>
                </c:pt>
                <c:pt idx="3">
                  <c:v>2000</c:v>
                </c:pt>
                <c:pt idx="4">
                  <c:v>5000</c:v>
                </c:pt>
                <c:pt idx="5">
                  <c:v>10000</c:v>
                </c:pt>
                <c:pt idx="6">
                  <c:v>20000</c:v>
                </c:pt>
              </c:numCache>
            </c:numRef>
          </c:cat>
          <c:val>
            <c:numRef>
              <c:f>'Tab 4 - Habit Moment and Metric'!$F$18:$F$24</c:f>
              <c:numCache>
                <c:formatCode>0%</c:formatCode>
                <c:ptCount val="7"/>
                <c:pt idx="0">
                  <c:v>0.38</c:v>
                </c:pt>
                <c:pt idx="1">
                  <c:v>0.49819999999999998</c:v>
                </c:pt>
                <c:pt idx="2">
                  <c:v>0.47610000000000002</c:v>
                </c:pt>
                <c:pt idx="3">
                  <c:v>0.55089999999999995</c:v>
                </c:pt>
                <c:pt idx="4">
                  <c:v>0.56000000000000005</c:v>
                </c:pt>
                <c:pt idx="5">
                  <c:v>0.57140000000000002</c:v>
                </c:pt>
                <c:pt idx="6">
                  <c:v>0.57579999999999998</c:v>
                </c:pt>
              </c:numCache>
            </c:numRef>
          </c:val>
          <c:smooth val="0"/>
          <c:extLst>
            <c:ext xmlns:c16="http://schemas.microsoft.com/office/drawing/2014/chart" uri="{C3380CC4-5D6E-409C-BE32-E72D297353CC}">
              <c16:uniqueId val="{00000005-B7B7-43A7-BF09-6FD1FC8DC281}"/>
            </c:ext>
          </c:extLst>
        </c:ser>
        <c:dLbls>
          <c:showLegendKey val="0"/>
          <c:showVal val="0"/>
          <c:showCatName val="0"/>
          <c:showSerName val="0"/>
          <c:showPercent val="0"/>
          <c:showBubbleSize val="0"/>
        </c:dLbls>
        <c:smooth val="0"/>
        <c:axId val="511580096"/>
        <c:axId val="511574816"/>
        <c:extLst>
          <c:ext xmlns:c15="http://schemas.microsoft.com/office/drawing/2012/chart" uri="{02D57815-91ED-43cb-92C2-25804820EDAC}">
            <c15:filteredLineSeries>
              <c15:ser>
                <c:idx val="0"/>
                <c:order val="0"/>
                <c:tx>
                  <c:strRef>
                    <c:extLst>
                      <c:ext uri="{02D57815-91ED-43cb-92C2-25804820EDAC}">
                        <c15:formulaRef>
                          <c15:sqref>'Tab 4 - Habit Moment and Metric'!$A$16:$A$17</c15:sqref>
                        </c15:formulaRef>
                      </c:ext>
                    </c:extLst>
                    <c:strCache>
                      <c:ptCount val="2"/>
                      <c:pt idx="0">
                        <c:v># of</c:v>
                      </c:pt>
                      <c:pt idx="1">
                        <c:v>Messages Sent</c:v>
                      </c:pt>
                    </c:strCache>
                  </c:strRef>
                </c:tx>
                <c:spPr>
                  <a:ln w="28575" cap="rnd">
                    <a:solidFill>
                      <a:schemeClr val="accent1"/>
                    </a:solidFill>
                    <a:round/>
                  </a:ln>
                  <a:effectLst/>
                </c:spPr>
                <c:marker>
                  <c:symbol val="none"/>
                </c:marker>
                <c:cat>
                  <c:numRef>
                    <c:extLst>
                      <c:ext uri="{02D57815-91ED-43cb-92C2-25804820EDAC}">
                        <c15:formulaRef>
                          <c15:sqref>'Tab 4 - Habit Moment and Metric'!$A$18:$A$24</c15:sqref>
                        </c15:formulaRef>
                      </c:ext>
                    </c:extLst>
                    <c:numCache>
                      <c:formatCode>General</c:formatCode>
                      <c:ptCount val="7"/>
                      <c:pt idx="0">
                        <c:v>100</c:v>
                      </c:pt>
                      <c:pt idx="1">
                        <c:v>500</c:v>
                      </c:pt>
                      <c:pt idx="2">
                        <c:v>1000</c:v>
                      </c:pt>
                      <c:pt idx="3">
                        <c:v>2000</c:v>
                      </c:pt>
                      <c:pt idx="4">
                        <c:v>5000</c:v>
                      </c:pt>
                      <c:pt idx="5">
                        <c:v>10000</c:v>
                      </c:pt>
                      <c:pt idx="6">
                        <c:v>20000</c:v>
                      </c:pt>
                    </c:numCache>
                  </c:numRef>
                </c:cat>
                <c:val>
                  <c:numRef>
                    <c:extLst>
                      <c:ext uri="{02D57815-91ED-43cb-92C2-25804820EDAC}">
                        <c15:formulaRef>
                          <c15:sqref>'Tab 4 - Habit Moment and Metric'!$A$18:$A$24</c15:sqref>
                        </c15:formulaRef>
                      </c:ext>
                    </c:extLst>
                    <c:numCache>
                      <c:formatCode>General</c:formatCode>
                      <c:ptCount val="7"/>
                      <c:pt idx="0">
                        <c:v>100</c:v>
                      </c:pt>
                      <c:pt idx="1">
                        <c:v>500</c:v>
                      </c:pt>
                      <c:pt idx="2">
                        <c:v>1000</c:v>
                      </c:pt>
                      <c:pt idx="3">
                        <c:v>2000</c:v>
                      </c:pt>
                      <c:pt idx="4">
                        <c:v>5000</c:v>
                      </c:pt>
                      <c:pt idx="5">
                        <c:v>10000</c:v>
                      </c:pt>
                      <c:pt idx="6">
                        <c:v>20000</c:v>
                      </c:pt>
                    </c:numCache>
                  </c:numRef>
                </c:val>
                <c:smooth val="0"/>
                <c:extLst>
                  <c:ext xmlns:c16="http://schemas.microsoft.com/office/drawing/2014/chart" uri="{C3380CC4-5D6E-409C-BE32-E72D297353CC}">
                    <c16:uniqueId val="{00000000-B7B7-43A7-BF09-6FD1FC8DC281}"/>
                  </c:ext>
                </c:extLst>
              </c15:ser>
            </c15:filteredLineSeries>
            <c15:filteredLineSeries>
              <c15:ser>
                <c:idx val="1"/>
                <c:order val="1"/>
                <c:tx>
                  <c:strRef>
                    <c:extLst>
                      <c:ext xmlns:c15="http://schemas.microsoft.com/office/drawing/2012/chart" uri="{02D57815-91ED-43cb-92C2-25804820EDAC}">
                        <c15:formulaRef>
                          <c15:sqref>'Tab 4 - Habit Moment and Metric'!$B$16:$B$17</c15:sqref>
                        </c15:formulaRef>
                      </c:ext>
                    </c:extLst>
                    <c:strCache>
                      <c:ptCount val="2"/>
                      <c:pt idx="0">
                        <c:v>User</c:v>
                      </c:pt>
                      <c:pt idx="1">
                        <c:v>Action Completed</c:v>
                      </c:pt>
                    </c:strCache>
                  </c:strRef>
                </c:tx>
                <c:spPr>
                  <a:ln w="28575" cap="rnd">
                    <a:solidFill>
                      <a:schemeClr val="accent2"/>
                    </a:solidFill>
                    <a:round/>
                  </a:ln>
                  <a:effectLst/>
                </c:spPr>
                <c:marker>
                  <c:symbol val="none"/>
                </c:marker>
                <c:cat>
                  <c:numRef>
                    <c:extLst>
                      <c:ext xmlns:c15="http://schemas.microsoft.com/office/drawing/2012/chart" uri="{02D57815-91ED-43cb-92C2-25804820EDAC}">
                        <c15:formulaRef>
                          <c15:sqref>'Tab 4 - Habit Moment and Metric'!$A$18:$A$24</c15:sqref>
                        </c15:formulaRef>
                      </c:ext>
                    </c:extLst>
                    <c:numCache>
                      <c:formatCode>General</c:formatCode>
                      <c:ptCount val="7"/>
                      <c:pt idx="0">
                        <c:v>100</c:v>
                      </c:pt>
                      <c:pt idx="1">
                        <c:v>500</c:v>
                      </c:pt>
                      <c:pt idx="2">
                        <c:v>1000</c:v>
                      </c:pt>
                      <c:pt idx="3">
                        <c:v>2000</c:v>
                      </c:pt>
                      <c:pt idx="4">
                        <c:v>5000</c:v>
                      </c:pt>
                      <c:pt idx="5">
                        <c:v>10000</c:v>
                      </c:pt>
                      <c:pt idx="6">
                        <c:v>20000</c:v>
                      </c:pt>
                    </c:numCache>
                  </c:numRef>
                </c:cat>
                <c:val>
                  <c:numRef>
                    <c:extLst>
                      <c:ext xmlns:c15="http://schemas.microsoft.com/office/drawing/2012/chart" uri="{02D57815-91ED-43cb-92C2-25804820EDAC}">
                        <c15:formulaRef>
                          <c15:sqref>'Tab 4 - Habit Moment and Metric'!$B$18:$B$24</c15:sqref>
                        </c15:formulaRef>
                      </c:ext>
                    </c:extLst>
                    <c:numCache>
                      <c:formatCode>General</c:formatCode>
                      <c:ptCount val="7"/>
                      <c:pt idx="0">
                        <c:v>797</c:v>
                      </c:pt>
                      <c:pt idx="1">
                        <c:v>420</c:v>
                      </c:pt>
                      <c:pt idx="2">
                        <c:v>365</c:v>
                      </c:pt>
                      <c:pt idx="3">
                        <c:v>232</c:v>
                      </c:pt>
                      <c:pt idx="4">
                        <c:v>185</c:v>
                      </c:pt>
                      <c:pt idx="5">
                        <c:v>150</c:v>
                      </c:pt>
                      <c:pt idx="6">
                        <c:v>120</c:v>
                      </c:pt>
                    </c:numCache>
                  </c:numRef>
                </c:val>
                <c:smooth val="0"/>
                <c:extLst>
                  <c:ext xmlns:c16="http://schemas.microsoft.com/office/drawing/2014/chart" uri="{C3380CC4-5D6E-409C-BE32-E72D297353CC}">
                    <c16:uniqueId val="{00000001-B7B7-43A7-BF09-6FD1FC8DC281}"/>
                  </c:ext>
                </c:extLst>
              </c15:ser>
            </c15:filteredLineSeries>
            <c15:filteredLineSeries>
              <c15:ser>
                <c:idx val="2"/>
                <c:order val="2"/>
                <c:tx>
                  <c:strRef>
                    <c:extLst>
                      <c:ext xmlns:c15="http://schemas.microsoft.com/office/drawing/2012/chart" uri="{02D57815-91ED-43cb-92C2-25804820EDAC}">
                        <c15:formulaRef>
                          <c15:sqref>'Tab 4 - Habit Moment and Metric'!$C$16:$C$17</c15:sqref>
                        </c15:formulaRef>
                      </c:ext>
                    </c:extLst>
                    <c:strCache>
                      <c:ptCount val="2"/>
                      <c:pt idx="0">
                        <c:v>User</c:v>
                      </c:pt>
                      <c:pt idx="1">
                        <c:v>Retained + Action NOT completed</c:v>
                      </c:pt>
                    </c:strCache>
                  </c:strRef>
                </c:tx>
                <c:spPr>
                  <a:ln w="28575" cap="rnd">
                    <a:solidFill>
                      <a:schemeClr val="accent3"/>
                    </a:solidFill>
                    <a:round/>
                  </a:ln>
                  <a:effectLst/>
                </c:spPr>
                <c:marker>
                  <c:symbol val="none"/>
                </c:marker>
                <c:cat>
                  <c:numRef>
                    <c:extLst>
                      <c:ext xmlns:c15="http://schemas.microsoft.com/office/drawing/2012/chart" uri="{02D57815-91ED-43cb-92C2-25804820EDAC}">
                        <c15:formulaRef>
                          <c15:sqref>'Tab 4 - Habit Moment and Metric'!$A$18:$A$24</c15:sqref>
                        </c15:formulaRef>
                      </c:ext>
                    </c:extLst>
                    <c:numCache>
                      <c:formatCode>General</c:formatCode>
                      <c:ptCount val="7"/>
                      <c:pt idx="0">
                        <c:v>100</c:v>
                      </c:pt>
                      <c:pt idx="1">
                        <c:v>500</c:v>
                      </c:pt>
                      <c:pt idx="2">
                        <c:v>1000</c:v>
                      </c:pt>
                      <c:pt idx="3">
                        <c:v>2000</c:v>
                      </c:pt>
                      <c:pt idx="4">
                        <c:v>5000</c:v>
                      </c:pt>
                      <c:pt idx="5">
                        <c:v>10000</c:v>
                      </c:pt>
                      <c:pt idx="6">
                        <c:v>20000</c:v>
                      </c:pt>
                    </c:numCache>
                  </c:numRef>
                </c:cat>
                <c:val>
                  <c:numRef>
                    <c:extLst>
                      <c:ext xmlns:c15="http://schemas.microsoft.com/office/drawing/2012/chart" uri="{02D57815-91ED-43cb-92C2-25804820EDAC}">
                        <c15:formulaRef>
                          <c15:sqref>'Tab 4 - Habit Moment and Metric'!$C$18:$C$24</c15:sqref>
                        </c15:formulaRef>
                      </c:ext>
                    </c:extLst>
                    <c:numCache>
                      <c:formatCode>General</c:formatCode>
                      <c:ptCount val="7"/>
                      <c:pt idx="0">
                        <c:v>139</c:v>
                      </c:pt>
                      <c:pt idx="1">
                        <c:v>146</c:v>
                      </c:pt>
                      <c:pt idx="2">
                        <c:v>158</c:v>
                      </c:pt>
                      <c:pt idx="3">
                        <c:v>171</c:v>
                      </c:pt>
                      <c:pt idx="4">
                        <c:v>190</c:v>
                      </c:pt>
                      <c:pt idx="5">
                        <c:v>200</c:v>
                      </c:pt>
                      <c:pt idx="6">
                        <c:v>210</c:v>
                      </c:pt>
                    </c:numCache>
                  </c:numRef>
                </c:val>
                <c:smooth val="0"/>
                <c:extLst>
                  <c:ext xmlns:c16="http://schemas.microsoft.com/office/drawing/2014/chart" uri="{C3380CC4-5D6E-409C-BE32-E72D297353CC}">
                    <c16:uniqueId val="{00000002-B7B7-43A7-BF09-6FD1FC8DC281}"/>
                  </c:ext>
                </c:extLst>
              </c15:ser>
            </c15:filteredLineSeries>
            <c15:filteredLineSeries>
              <c15:ser>
                <c:idx val="3"/>
                <c:order val="3"/>
                <c:tx>
                  <c:strRef>
                    <c:extLst>
                      <c:ext xmlns:c15="http://schemas.microsoft.com/office/drawing/2012/chart" uri="{02D57815-91ED-43cb-92C2-25804820EDAC}">
                        <c15:formulaRef>
                          <c15:sqref>'Tab 4 - Habit Moment and Metric'!$D$16:$D$17</c15:sqref>
                        </c15:formulaRef>
                      </c:ext>
                    </c:extLst>
                    <c:strCache>
                      <c:ptCount val="2"/>
                      <c:pt idx="0">
                        <c:v>User</c:v>
                      </c:pt>
                      <c:pt idx="1">
                        <c:v>Retained + Action completed</c:v>
                      </c:pt>
                    </c:strCache>
                  </c:strRef>
                </c:tx>
                <c:spPr>
                  <a:ln w="28575" cap="rnd">
                    <a:solidFill>
                      <a:schemeClr val="accent4"/>
                    </a:solidFill>
                    <a:round/>
                  </a:ln>
                  <a:effectLst/>
                </c:spPr>
                <c:marker>
                  <c:symbol val="none"/>
                </c:marker>
                <c:cat>
                  <c:numRef>
                    <c:extLst>
                      <c:ext xmlns:c15="http://schemas.microsoft.com/office/drawing/2012/chart" uri="{02D57815-91ED-43cb-92C2-25804820EDAC}">
                        <c15:formulaRef>
                          <c15:sqref>'Tab 4 - Habit Moment and Metric'!$A$18:$A$24</c15:sqref>
                        </c15:formulaRef>
                      </c:ext>
                    </c:extLst>
                    <c:numCache>
                      <c:formatCode>General</c:formatCode>
                      <c:ptCount val="7"/>
                      <c:pt idx="0">
                        <c:v>100</c:v>
                      </c:pt>
                      <c:pt idx="1">
                        <c:v>500</c:v>
                      </c:pt>
                      <c:pt idx="2">
                        <c:v>1000</c:v>
                      </c:pt>
                      <c:pt idx="3">
                        <c:v>2000</c:v>
                      </c:pt>
                      <c:pt idx="4">
                        <c:v>5000</c:v>
                      </c:pt>
                      <c:pt idx="5">
                        <c:v>10000</c:v>
                      </c:pt>
                      <c:pt idx="6">
                        <c:v>20000</c:v>
                      </c:pt>
                    </c:numCache>
                  </c:numRef>
                </c:cat>
                <c:val>
                  <c:numRef>
                    <c:extLst>
                      <c:ext xmlns:c15="http://schemas.microsoft.com/office/drawing/2012/chart" uri="{02D57815-91ED-43cb-92C2-25804820EDAC}">
                        <c15:formulaRef>
                          <c15:sqref>'Tab 4 - Habit Moment and Metric'!$D$18:$D$24</c15:sqref>
                        </c15:formulaRef>
                      </c:ext>
                    </c:extLst>
                    <c:numCache>
                      <c:formatCode>General</c:formatCode>
                      <c:ptCount val="7"/>
                      <c:pt idx="0">
                        <c:v>358</c:v>
                      </c:pt>
                      <c:pt idx="1">
                        <c:v>282</c:v>
                      </c:pt>
                      <c:pt idx="2">
                        <c:v>249</c:v>
                      </c:pt>
                      <c:pt idx="3">
                        <c:v>222</c:v>
                      </c:pt>
                      <c:pt idx="4">
                        <c:v>210</c:v>
                      </c:pt>
                      <c:pt idx="5">
                        <c:v>200</c:v>
                      </c:pt>
                      <c:pt idx="6">
                        <c:v>190</c:v>
                      </c:pt>
                    </c:numCache>
                  </c:numRef>
                </c:val>
                <c:smooth val="0"/>
                <c:extLst>
                  <c:ext xmlns:c16="http://schemas.microsoft.com/office/drawing/2014/chart" uri="{C3380CC4-5D6E-409C-BE32-E72D297353CC}">
                    <c16:uniqueId val="{00000003-B7B7-43A7-BF09-6FD1FC8DC281}"/>
                  </c:ext>
                </c:extLst>
              </c15:ser>
            </c15:filteredLineSeries>
            <c15:filteredLineSeries>
              <c15:ser>
                <c:idx val="4"/>
                <c:order val="4"/>
                <c:tx>
                  <c:strRef>
                    <c:extLst>
                      <c:ext xmlns:c15="http://schemas.microsoft.com/office/drawing/2012/chart" uri="{02D57815-91ED-43cb-92C2-25804820EDAC}">
                        <c15:formulaRef>
                          <c15:sqref>'Tab 4 - Habit Moment and Metric'!$E$16:$E$17</c15:sqref>
                        </c15:formulaRef>
                      </c:ext>
                    </c:extLst>
                    <c:strCache>
                      <c:ptCount val="2"/>
                      <c:pt idx="0">
                        <c:v>User</c:v>
                      </c:pt>
                      <c:pt idx="1">
                        <c:v>Total Users</c:v>
                      </c:pt>
                    </c:strCache>
                  </c:strRef>
                </c:tx>
                <c:spPr>
                  <a:ln w="28575" cap="rnd">
                    <a:solidFill>
                      <a:schemeClr val="accent5"/>
                    </a:solidFill>
                    <a:round/>
                  </a:ln>
                  <a:effectLst/>
                </c:spPr>
                <c:marker>
                  <c:symbol val="none"/>
                </c:marker>
                <c:cat>
                  <c:numRef>
                    <c:extLst>
                      <c:ext xmlns:c15="http://schemas.microsoft.com/office/drawing/2012/chart" uri="{02D57815-91ED-43cb-92C2-25804820EDAC}">
                        <c15:formulaRef>
                          <c15:sqref>'Tab 4 - Habit Moment and Metric'!$A$18:$A$24</c15:sqref>
                        </c15:formulaRef>
                      </c:ext>
                    </c:extLst>
                    <c:numCache>
                      <c:formatCode>General</c:formatCode>
                      <c:ptCount val="7"/>
                      <c:pt idx="0">
                        <c:v>100</c:v>
                      </c:pt>
                      <c:pt idx="1">
                        <c:v>500</c:v>
                      </c:pt>
                      <c:pt idx="2">
                        <c:v>1000</c:v>
                      </c:pt>
                      <c:pt idx="3">
                        <c:v>2000</c:v>
                      </c:pt>
                      <c:pt idx="4">
                        <c:v>5000</c:v>
                      </c:pt>
                      <c:pt idx="5">
                        <c:v>10000</c:v>
                      </c:pt>
                      <c:pt idx="6">
                        <c:v>20000</c:v>
                      </c:pt>
                    </c:numCache>
                  </c:numRef>
                </c:cat>
                <c:val>
                  <c:numRef>
                    <c:extLst>
                      <c:ext xmlns:c15="http://schemas.microsoft.com/office/drawing/2012/chart" uri="{02D57815-91ED-43cb-92C2-25804820EDAC}">
                        <c15:formulaRef>
                          <c15:sqref>'Tab 4 - Habit Moment and Metric'!$E$18:$E$24</c15:sqref>
                        </c15:formulaRef>
                      </c:ext>
                    </c:extLst>
                    <c:numCache>
                      <c:formatCode>#,##0</c:formatCode>
                      <c:ptCount val="7"/>
                      <c:pt idx="0">
                        <c:v>936</c:v>
                      </c:pt>
                      <c:pt idx="1">
                        <c:v>566</c:v>
                      </c:pt>
                      <c:pt idx="2">
                        <c:v>523</c:v>
                      </c:pt>
                      <c:pt idx="3">
                        <c:v>403</c:v>
                      </c:pt>
                      <c:pt idx="4">
                        <c:v>375</c:v>
                      </c:pt>
                      <c:pt idx="5">
                        <c:v>350</c:v>
                      </c:pt>
                      <c:pt idx="6">
                        <c:v>330</c:v>
                      </c:pt>
                    </c:numCache>
                  </c:numRef>
                </c:val>
                <c:smooth val="0"/>
                <c:extLst>
                  <c:ext xmlns:c16="http://schemas.microsoft.com/office/drawing/2014/chart" uri="{C3380CC4-5D6E-409C-BE32-E72D297353CC}">
                    <c16:uniqueId val="{00000004-B7B7-43A7-BF09-6FD1FC8DC281}"/>
                  </c:ext>
                </c:extLst>
              </c15:ser>
            </c15:filteredLineSeries>
          </c:ext>
        </c:extLst>
      </c:lineChart>
      <c:catAx>
        <c:axId val="51158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74816"/>
        <c:crosses val="autoZero"/>
        <c:auto val="1"/>
        <c:lblAlgn val="ctr"/>
        <c:lblOffset val="100"/>
        <c:noMultiLvlLbl val="0"/>
      </c:catAx>
      <c:valAx>
        <c:axId val="5115748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80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4"/>
          <c:tx>
            <c:strRef>
              <c:f>'Tab 5 - Aha Moment and Metric A'!$F$15:$F$16</c:f>
              <c:strCache>
                <c:ptCount val="2"/>
                <c:pt idx="0">
                  <c:v>User</c:v>
                </c:pt>
                <c:pt idx="1">
                  <c:v>% Overlap</c:v>
                </c:pt>
              </c:strCache>
            </c:strRef>
          </c:tx>
          <c:spPr>
            <a:ln w="28575" cap="rnd">
              <a:solidFill>
                <a:schemeClr val="accent5"/>
              </a:solidFill>
              <a:round/>
            </a:ln>
            <a:effectLst/>
          </c:spPr>
          <c:marker>
            <c:symbol val="none"/>
          </c:marker>
          <c:cat>
            <c:strRef>
              <c:f>'Tab 5 - Aha Moment and Metric A'!$A$17:$A$23</c:f>
              <c:strCache>
                <c:ptCount val="7"/>
                <c:pt idx="0">
                  <c:v>1+</c:v>
                </c:pt>
                <c:pt idx="1">
                  <c:v>2+</c:v>
                </c:pt>
                <c:pt idx="2">
                  <c:v>3+</c:v>
                </c:pt>
                <c:pt idx="3">
                  <c:v>4+</c:v>
                </c:pt>
                <c:pt idx="4">
                  <c:v>5+</c:v>
                </c:pt>
                <c:pt idx="5">
                  <c:v>6+</c:v>
                </c:pt>
                <c:pt idx="6">
                  <c:v>7+</c:v>
                </c:pt>
              </c:strCache>
            </c:strRef>
          </c:cat>
          <c:val>
            <c:numRef>
              <c:f>'Tab 5 - Aha Moment and Metric A'!$F$17:$F$23</c:f>
              <c:numCache>
                <c:formatCode>0%</c:formatCode>
                <c:ptCount val="7"/>
                <c:pt idx="0">
                  <c:v>0.83</c:v>
                </c:pt>
                <c:pt idx="1">
                  <c:v>0.80569999999999997</c:v>
                </c:pt>
                <c:pt idx="2">
                  <c:v>0.7893</c:v>
                </c:pt>
                <c:pt idx="3">
                  <c:v>0.77139999999999997</c:v>
                </c:pt>
                <c:pt idx="4">
                  <c:v>0.58850000000000002</c:v>
                </c:pt>
                <c:pt idx="5">
                  <c:v>0.42799999999999999</c:v>
                </c:pt>
                <c:pt idx="6">
                  <c:v>0.3175</c:v>
                </c:pt>
              </c:numCache>
            </c:numRef>
          </c:val>
          <c:smooth val="0"/>
          <c:extLst>
            <c:ext xmlns:c16="http://schemas.microsoft.com/office/drawing/2014/chart" uri="{C3380CC4-5D6E-409C-BE32-E72D297353CC}">
              <c16:uniqueId val="{00000004-92F9-46D3-BC26-ACCB59C347D5}"/>
            </c:ext>
          </c:extLst>
        </c:ser>
        <c:dLbls>
          <c:showLegendKey val="0"/>
          <c:showVal val="0"/>
          <c:showCatName val="0"/>
          <c:showSerName val="0"/>
          <c:showPercent val="0"/>
          <c:showBubbleSize val="0"/>
        </c:dLbls>
        <c:smooth val="0"/>
        <c:axId val="461560320"/>
        <c:axId val="461547840"/>
        <c:extLst>
          <c:ext xmlns:c15="http://schemas.microsoft.com/office/drawing/2012/chart" uri="{02D57815-91ED-43cb-92C2-25804820EDAC}">
            <c15:filteredLineSeries>
              <c15:ser>
                <c:idx val="0"/>
                <c:order val="0"/>
                <c:tx>
                  <c:strRef>
                    <c:extLst>
                      <c:ext uri="{02D57815-91ED-43cb-92C2-25804820EDAC}">
                        <c15:formulaRef>
                          <c15:sqref>'Tab 5 - Aha Moment and Metric A'!$B$15:$B$16</c15:sqref>
                        </c15:formulaRef>
                      </c:ext>
                    </c:extLst>
                    <c:strCache>
                      <c:ptCount val="2"/>
                      <c:pt idx="0">
                        <c:v>User</c:v>
                      </c:pt>
                      <c:pt idx="1">
                        <c:v>Action Completed</c:v>
                      </c:pt>
                    </c:strCache>
                  </c:strRef>
                </c:tx>
                <c:spPr>
                  <a:ln w="28575" cap="rnd">
                    <a:solidFill>
                      <a:schemeClr val="accent1"/>
                    </a:solidFill>
                    <a:round/>
                  </a:ln>
                  <a:effectLst/>
                </c:spPr>
                <c:marker>
                  <c:symbol val="none"/>
                </c:marker>
                <c:cat>
                  <c:strRef>
                    <c:extLst>
                      <c:ext uri="{02D57815-91ED-43cb-92C2-25804820EDAC}">
                        <c15:formulaRef>
                          <c15:sqref>'Tab 5 - Aha Moment and Metric A'!$A$17:$A$23</c15:sqref>
                        </c15:formulaRef>
                      </c:ext>
                    </c:extLst>
                    <c:strCache>
                      <c:ptCount val="7"/>
                      <c:pt idx="0">
                        <c:v>1+</c:v>
                      </c:pt>
                      <c:pt idx="1">
                        <c:v>2+</c:v>
                      </c:pt>
                      <c:pt idx="2">
                        <c:v>3+</c:v>
                      </c:pt>
                      <c:pt idx="3">
                        <c:v>4+</c:v>
                      </c:pt>
                      <c:pt idx="4">
                        <c:v>5+</c:v>
                      </c:pt>
                      <c:pt idx="5">
                        <c:v>6+</c:v>
                      </c:pt>
                      <c:pt idx="6">
                        <c:v>7+</c:v>
                      </c:pt>
                    </c:strCache>
                  </c:strRef>
                </c:cat>
                <c:val>
                  <c:numRef>
                    <c:extLst>
                      <c:ext uri="{02D57815-91ED-43cb-92C2-25804820EDAC}">
                        <c15:formulaRef>
                          <c15:sqref>'Tab 5 - Aha Moment and Metric A'!$B$17:$B$23</c15:sqref>
                        </c15:formulaRef>
                      </c:ext>
                    </c:extLst>
                    <c:numCache>
                      <c:formatCode>General</c:formatCode>
                      <c:ptCount val="7"/>
                      <c:pt idx="0">
                        <c:v>204</c:v>
                      </c:pt>
                      <c:pt idx="1">
                        <c:v>170</c:v>
                      </c:pt>
                      <c:pt idx="2">
                        <c:v>152</c:v>
                      </c:pt>
                      <c:pt idx="3">
                        <c:v>110</c:v>
                      </c:pt>
                      <c:pt idx="4">
                        <c:v>90</c:v>
                      </c:pt>
                      <c:pt idx="5">
                        <c:v>65</c:v>
                      </c:pt>
                      <c:pt idx="6">
                        <c:v>30</c:v>
                      </c:pt>
                    </c:numCache>
                  </c:numRef>
                </c:val>
                <c:smooth val="0"/>
                <c:extLst>
                  <c:ext xmlns:c16="http://schemas.microsoft.com/office/drawing/2014/chart" uri="{C3380CC4-5D6E-409C-BE32-E72D297353CC}">
                    <c16:uniqueId val="{00000000-92F9-46D3-BC26-ACCB59C347D5}"/>
                  </c:ext>
                </c:extLst>
              </c15:ser>
            </c15:filteredLineSeries>
            <c15:filteredLineSeries>
              <c15:ser>
                <c:idx val="1"/>
                <c:order val="1"/>
                <c:tx>
                  <c:strRef>
                    <c:extLst>
                      <c:ext xmlns:c15="http://schemas.microsoft.com/office/drawing/2012/chart" uri="{02D57815-91ED-43cb-92C2-25804820EDAC}">
                        <c15:formulaRef>
                          <c15:sqref>'Tab 5 - Aha Moment and Metric A'!$C$15:$C$16</c15:sqref>
                        </c15:formulaRef>
                      </c:ext>
                    </c:extLst>
                    <c:strCache>
                      <c:ptCount val="2"/>
                      <c:pt idx="0">
                        <c:v>User</c:v>
                      </c:pt>
                      <c:pt idx="1">
                        <c:v>Retained + Action NOT completed</c:v>
                      </c:pt>
                    </c:strCache>
                  </c:strRef>
                </c:tx>
                <c:spPr>
                  <a:ln w="28575" cap="rnd">
                    <a:solidFill>
                      <a:schemeClr val="accent2"/>
                    </a:solidFill>
                    <a:round/>
                  </a:ln>
                  <a:effectLst/>
                </c:spPr>
                <c:marker>
                  <c:symbol val="none"/>
                </c:marker>
                <c:cat>
                  <c:strRef>
                    <c:extLst>
                      <c:ext xmlns:c15="http://schemas.microsoft.com/office/drawing/2012/chart" uri="{02D57815-91ED-43cb-92C2-25804820EDAC}">
                        <c15:formulaRef>
                          <c15:sqref>'Tab 5 - Aha Moment and Metric A'!$A$17:$A$23</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5 - Aha Moment and Metric A'!$C$17:$C$23</c15:sqref>
                        </c15:formulaRef>
                      </c:ext>
                    </c:extLst>
                    <c:numCache>
                      <c:formatCode>General</c:formatCode>
                      <c:ptCount val="7"/>
                      <c:pt idx="0">
                        <c:v>342</c:v>
                      </c:pt>
                      <c:pt idx="1">
                        <c:v>360</c:v>
                      </c:pt>
                      <c:pt idx="2">
                        <c:v>370</c:v>
                      </c:pt>
                      <c:pt idx="3">
                        <c:v>380</c:v>
                      </c:pt>
                      <c:pt idx="4">
                        <c:v>520</c:v>
                      </c:pt>
                      <c:pt idx="5">
                        <c:v>650</c:v>
                      </c:pt>
                      <c:pt idx="6">
                        <c:v>874</c:v>
                      </c:pt>
                    </c:numCache>
                  </c:numRef>
                </c:val>
                <c:smooth val="0"/>
                <c:extLst>
                  <c:ext xmlns:c16="http://schemas.microsoft.com/office/drawing/2014/chart" uri="{C3380CC4-5D6E-409C-BE32-E72D297353CC}">
                    <c16:uniqueId val="{00000001-92F9-46D3-BC26-ACCB59C347D5}"/>
                  </c:ext>
                </c:extLst>
              </c15:ser>
            </c15:filteredLineSeries>
            <c15:filteredLineSeries>
              <c15:ser>
                <c:idx val="2"/>
                <c:order val="2"/>
                <c:tx>
                  <c:strRef>
                    <c:extLst>
                      <c:ext xmlns:c15="http://schemas.microsoft.com/office/drawing/2012/chart" uri="{02D57815-91ED-43cb-92C2-25804820EDAC}">
                        <c15:formulaRef>
                          <c15:sqref>'Tab 5 - Aha Moment and Metric A'!$D$15:$D$16</c15:sqref>
                        </c15:formulaRef>
                      </c:ext>
                    </c:extLst>
                    <c:strCache>
                      <c:ptCount val="2"/>
                      <c:pt idx="0">
                        <c:v>User</c:v>
                      </c:pt>
                      <c:pt idx="1">
                        <c:v>Retained + Action completed</c:v>
                      </c:pt>
                    </c:strCache>
                  </c:strRef>
                </c:tx>
                <c:spPr>
                  <a:ln w="28575" cap="rnd">
                    <a:solidFill>
                      <a:schemeClr val="accent3"/>
                    </a:solidFill>
                    <a:round/>
                  </a:ln>
                  <a:effectLst/>
                </c:spPr>
                <c:marker>
                  <c:symbol val="none"/>
                </c:marker>
                <c:cat>
                  <c:strRef>
                    <c:extLst>
                      <c:ext xmlns:c15="http://schemas.microsoft.com/office/drawing/2012/chart" uri="{02D57815-91ED-43cb-92C2-25804820EDAC}">
                        <c15:formulaRef>
                          <c15:sqref>'Tab 5 - Aha Moment and Metric A'!$A$17:$A$23</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5 - Aha Moment and Metric A'!$D$17:$D$23</c15:sqref>
                        </c15:formulaRef>
                      </c:ext>
                    </c:extLst>
                    <c:numCache>
                      <c:formatCode>General</c:formatCode>
                      <c:ptCount val="7"/>
                      <c:pt idx="0">
                        <c:v>453</c:v>
                      </c:pt>
                      <c:pt idx="1">
                        <c:v>427</c:v>
                      </c:pt>
                      <c:pt idx="2">
                        <c:v>412</c:v>
                      </c:pt>
                      <c:pt idx="3">
                        <c:v>378</c:v>
                      </c:pt>
                      <c:pt idx="4">
                        <c:v>359</c:v>
                      </c:pt>
                      <c:pt idx="5">
                        <c:v>306</c:v>
                      </c:pt>
                      <c:pt idx="6">
                        <c:v>287</c:v>
                      </c:pt>
                    </c:numCache>
                  </c:numRef>
                </c:val>
                <c:smooth val="0"/>
                <c:extLst>
                  <c:ext xmlns:c16="http://schemas.microsoft.com/office/drawing/2014/chart" uri="{C3380CC4-5D6E-409C-BE32-E72D297353CC}">
                    <c16:uniqueId val="{00000002-92F9-46D3-BC26-ACCB59C347D5}"/>
                  </c:ext>
                </c:extLst>
              </c15:ser>
            </c15:filteredLineSeries>
            <c15:filteredLineSeries>
              <c15:ser>
                <c:idx val="3"/>
                <c:order val="3"/>
                <c:tx>
                  <c:strRef>
                    <c:extLst>
                      <c:ext xmlns:c15="http://schemas.microsoft.com/office/drawing/2012/chart" uri="{02D57815-91ED-43cb-92C2-25804820EDAC}">
                        <c15:formulaRef>
                          <c15:sqref>'Tab 5 - Aha Moment and Metric A'!$E$15:$E$16</c15:sqref>
                        </c15:formulaRef>
                      </c:ext>
                    </c:extLst>
                    <c:strCache>
                      <c:ptCount val="2"/>
                      <c:pt idx="0">
                        <c:v>User</c:v>
                      </c:pt>
                      <c:pt idx="1">
                        <c:v>Total Users</c:v>
                      </c:pt>
                    </c:strCache>
                  </c:strRef>
                </c:tx>
                <c:spPr>
                  <a:ln w="28575" cap="rnd">
                    <a:solidFill>
                      <a:schemeClr val="accent4"/>
                    </a:solidFill>
                    <a:round/>
                  </a:ln>
                  <a:effectLst/>
                </c:spPr>
                <c:marker>
                  <c:symbol val="none"/>
                </c:marker>
                <c:cat>
                  <c:strRef>
                    <c:extLst>
                      <c:ext xmlns:c15="http://schemas.microsoft.com/office/drawing/2012/chart" uri="{02D57815-91ED-43cb-92C2-25804820EDAC}">
                        <c15:formulaRef>
                          <c15:sqref>'Tab 5 - Aha Moment and Metric A'!$A$17:$A$23</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5 - Aha Moment and Metric A'!$E$17:$E$23</c15:sqref>
                        </c15:formulaRef>
                      </c:ext>
                    </c:extLst>
                    <c:numCache>
                      <c:formatCode>#,##0</c:formatCode>
                      <c:ptCount val="7"/>
                      <c:pt idx="0">
                        <c:v>546</c:v>
                      </c:pt>
                      <c:pt idx="1">
                        <c:v>530</c:v>
                      </c:pt>
                      <c:pt idx="2">
                        <c:v>522</c:v>
                      </c:pt>
                      <c:pt idx="3">
                        <c:v>490</c:v>
                      </c:pt>
                      <c:pt idx="4">
                        <c:v>610</c:v>
                      </c:pt>
                      <c:pt idx="5">
                        <c:v>715</c:v>
                      </c:pt>
                      <c:pt idx="6">
                        <c:v>904</c:v>
                      </c:pt>
                    </c:numCache>
                  </c:numRef>
                </c:val>
                <c:smooth val="0"/>
                <c:extLst>
                  <c:ext xmlns:c16="http://schemas.microsoft.com/office/drawing/2014/chart" uri="{C3380CC4-5D6E-409C-BE32-E72D297353CC}">
                    <c16:uniqueId val="{00000003-92F9-46D3-BC26-ACCB59C347D5}"/>
                  </c:ext>
                </c:extLst>
              </c15:ser>
            </c15:filteredLineSeries>
          </c:ext>
        </c:extLst>
      </c:lineChart>
      <c:catAx>
        <c:axId val="46156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47840"/>
        <c:crosses val="autoZero"/>
        <c:auto val="1"/>
        <c:lblAlgn val="ctr"/>
        <c:lblOffset val="100"/>
        <c:noMultiLvlLbl val="0"/>
      </c:catAx>
      <c:valAx>
        <c:axId val="461547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560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4"/>
          <c:tx>
            <c:strRef>
              <c:f>'Tab 5 - Aha Moment and Metric A'!$F$27:$F$28</c:f>
              <c:strCache>
                <c:ptCount val="2"/>
                <c:pt idx="0">
                  <c:v>User</c:v>
                </c:pt>
                <c:pt idx="1">
                  <c:v>% Overlap</c:v>
                </c:pt>
              </c:strCache>
            </c:strRef>
          </c:tx>
          <c:spPr>
            <a:ln w="28575" cap="rnd">
              <a:solidFill>
                <a:schemeClr val="accent5"/>
              </a:solidFill>
              <a:round/>
            </a:ln>
            <a:effectLst/>
          </c:spPr>
          <c:marker>
            <c:symbol val="none"/>
          </c:marker>
          <c:cat>
            <c:strRef>
              <c:f>'Tab 5 - Aha Moment and Metric A'!$A$29:$A$35</c:f>
              <c:strCache>
                <c:ptCount val="7"/>
                <c:pt idx="0">
                  <c:v>1+</c:v>
                </c:pt>
                <c:pt idx="1">
                  <c:v>2+</c:v>
                </c:pt>
                <c:pt idx="2">
                  <c:v>3+</c:v>
                </c:pt>
                <c:pt idx="3">
                  <c:v>4+</c:v>
                </c:pt>
                <c:pt idx="4">
                  <c:v>5+</c:v>
                </c:pt>
                <c:pt idx="5">
                  <c:v>6+</c:v>
                </c:pt>
                <c:pt idx="6">
                  <c:v>7+</c:v>
                </c:pt>
              </c:strCache>
            </c:strRef>
          </c:cat>
          <c:val>
            <c:numRef>
              <c:f>'Tab 5 - Aha Moment and Metric A'!$F$29:$F$35</c:f>
              <c:numCache>
                <c:formatCode>0%</c:formatCode>
                <c:ptCount val="7"/>
                <c:pt idx="0">
                  <c:v>0.61350000000000005</c:v>
                </c:pt>
                <c:pt idx="1">
                  <c:v>0.58979999999999999</c:v>
                </c:pt>
                <c:pt idx="2">
                  <c:v>0.56599999999999995</c:v>
                </c:pt>
                <c:pt idx="3">
                  <c:v>0.55049999999999999</c:v>
                </c:pt>
                <c:pt idx="4">
                  <c:v>0.41310000000000002</c:v>
                </c:pt>
                <c:pt idx="5">
                  <c:v>0.36599999999999999</c:v>
                </c:pt>
                <c:pt idx="6">
                  <c:v>0.22720000000000001</c:v>
                </c:pt>
              </c:numCache>
            </c:numRef>
          </c:val>
          <c:smooth val="0"/>
          <c:extLst>
            <c:ext xmlns:c16="http://schemas.microsoft.com/office/drawing/2014/chart" uri="{C3380CC4-5D6E-409C-BE32-E72D297353CC}">
              <c16:uniqueId val="{00000004-D6D7-4CC4-947B-A204D2419F28}"/>
            </c:ext>
          </c:extLst>
        </c:ser>
        <c:dLbls>
          <c:showLegendKey val="0"/>
          <c:showVal val="0"/>
          <c:showCatName val="0"/>
          <c:showSerName val="0"/>
          <c:showPercent val="0"/>
          <c:showBubbleSize val="0"/>
        </c:dLbls>
        <c:smooth val="0"/>
        <c:axId val="511536896"/>
        <c:axId val="511523936"/>
        <c:extLst>
          <c:ext xmlns:c15="http://schemas.microsoft.com/office/drawing/2012/chart" uri="{02D57815-91ED-43cb-92C2-25804820EDAC}">
            <c15:filteredLineSeries>
              <c15:ser>
                <c:idx val="0"/>
                <c:order val="0"/>
                <c:tx>
                  <c:strRef>
                    <c:extLst>
                      <c:ext uri="{02D57815-91ED-43cb-92C2-25804820EDAC}">
                        <c15:formulaRef>
                          <c15:sqref>'Tab 5 - Aha Moment and Metric A'!$B$27:$B$28</c15:sqref>
                        </c15:formulaRef>
                      </c:ext>
                    </c:extLst>
                    <c:strCache>
                      <c:ptCount val="2"/>
                      <c:pt idx="0">
                        <c:v>User</c:v>
                      </c:pt>
                      <c:pt idx="1">
                        <c:v>Action Completed</c:v>
                      </c:pt>
                    </c:strCache>
                  </c:strRef>
                </c:tx>
                <c:spPr>
                  <a:ln w="28575" cap="rnd">
                    <a:solidFill>
                      <a:schemeClr val="accent1"/>
                    </a:solidFill>
                    <a:round/>
                  </a:ln>
                  <a:effectLst/>
                </c:spPr>
                <c:marker>
                  <c:symbol val="none"/>
                </c:marker>
                <c:cat>
                  <c:strRef>
                    <c:extLst>
                      <c:ext uri="{02D57815-91ED-43cb-92C2-25804820EDAC}">
                        <c15:formulaRef>
                          <c15:sqref>'Tab 5 - Aha Moment and Metric A'!$A$29:$A$35</c15:sqref>
                        </c15:formulaRef>
                      </c:ext>
                    </c:extLst>
                    <c:strCache>
                      <c:ptCount val="7"/>
                      <c:pt idx="0">
                        <c:v>1+</c:v>
                      </c:pt>
                      <c:pt idx="1">
                        <c:v>2+</c:v>
                      </c:pt>
                      <c:pt idx="2">
                        <c:v>3+</c:v>
                      </c:pt>
                      <c:pt idx="3">
                        <c:v>4+</c:v>
                      </c:pt>
                      <c:pt idx="4">
                        <c:v>5+</c:v>
                      </c:pt>
                      <c:pt idx="5">
                        <c:v>6+</c:v>
                      </c:pt>
                      <c:pt idx="6">
                        <c:v>7+</c:v>
                      </c:pt>
                    </c:strCache>
                  </c:strRef>
                </c:cat>
                <c:val>
                  <c:numRef>
                    <c:extLst>
                      <c:ext uri="{02D57815-91ED-43cb-92C2-25804820EDAC}">
                        <c15:formulaRef>
                          <c15:sqref>'Tab 5 - Aha Moment and Metric A'!$B$29:$B$35</c15:sqref>
                        </c15:formulaRef>
                      </c:ext>
                    </c:extLst>
                    <c:numCache>
                      <c:formatCode>General</c:formatCode>
                      <c:ptCount val="7"/>
                      <c:pt idx="0">
                        <c:v>1104</c:v>
                      </c:pt>
                      <c:pt idx="1">
                        <c:v>690</c:v>
                      </c:pt>
                      <c:pt idx="2">
                        <c:v>552</c:v>
                      </c:pt>
                      <c:pt idx="3">
                        <c:v>460</c:v>
                      </c:pt>
                      <c:pt idx="4">
                        <c:v>428</c:v>
                      </c:pt>
                      <c:pt idx="5">
                        <c:v>352</c:v>
                      </c:pt>
                      <c:pt idx="6">
                        <c:v>310</c:v>
                      </c:pt>
                    </c:numCache>
                  </c:numRef>
                </c:val>
                <c:smooth val="0"/>
                <c:extLst>
                  <c:ext xmlns:c16="http://schemas.microsoft.com/office/drawing/2014/chart" uri="{C3380CC4-5D6E-409C-BE32-E72D297353CC}">
                    <c16:uniqueId val="{00000000-D6D7-4CC4-947B-A204D2419F28}"/>
                  </c:ext>
                </c:extLst>
              </c15:ser>
            </c15:filteredLineSeries>
            <c15:filteredLineSeries>
              <c15:ser>
                <c:idx val="1"/>
                <c:order val="1"/>
                <c:tx>
                  <c:strRef>
                    <c:extLst>
                      <c:ext xmlns:c15="http://schemas.microsoft.com/office/drawing/2012/chart" uri="{02D57815-91ED-43cb-92C2-25804820EDAC}">
                        <c15:formulaRef>
                          <c15:sqref>'Tab 5 - Aha Moment and Metric A'!$C$27:$C$28</c15:sqref>
                        </c15:formulaRef>
                      </c:ext>
                    </c:extLst>
                    <c:strCache>
                      <c:ptCount val="2"/>
                      <c:pt idx="0">
                        <c:v>User</c:v>
                      </c:pt>
                      <c:pt idx="1">
                        <c:v>Retained + Action NOT completed</c:v>
                      </c:pt>
                    </c:strCache>
                  </c:strRef>
                </c:tx>
                <c:spPr>
                  <a:ln w="28575" cap="rnd">
                    <a:solidFill>
                      <a:schemeClr val="accent2"/>
                    </a:solidFill>
                    <a:round/>
                  </a:ln>
                  <a:effectLst/>
                </c:spPr>
                <c:marker>
                  <c:symbol val="none"/>
                </c:marker>
                <c:cat>
                  <c:strRef>
                    <c:extLst>
                      <c:ext xmlns:c15="http://schemas.microsoft.com/office/drawing/2012/chart" uri="{02D57815-91ED-43cb-92C2-25804820EDAC}">
                        <c15:formulaRef>
                          <c15:sqref>'Tab 5 - Aha Moment and Metric A'!$A$29:$A$35</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5 - Aha Moment and Metric A'!$C$29:$C$35</c15:sqref>
                        </c15:formulaRef>
                      </c:ext>
                    </c:extLst>
                    <c:numCache>
                      <c:formatCode>General</c:formatCode>
                      <c:ptCount val="7"/>
                      <c:pt idx="0">
                        <c:v>200</c:v>
                      </c:pt>
                      <c:pt idx="1">
                        <c:v>373</c:v>
                      </c:pt>
                      <c:pt idx="2">
                        <c:v>388</c:v>
                      </c:pt>
                      <c:pt idx="3">
                        <c:v>372</c:v>
                      </c:pt>
                      <c:pt idx="4">
                        <c:v>441</c:v>
                      </c:pt>
                      <c:pt idx="5">
                        <c:v>484</c:v>
                      </c:pt>
                      <c:pt idx="6">
                        <c:v>513</c:v>
                      </c:pt>
                    </c:numCache>
                  </c:numRef>
                </c:val>
                <c:smooth val="0"/>
                <c:extLst>
                  <c:ext xmlns:c16="http://schemas.microsoft.com/office/drawing/2014/chart" uri="{C3380CC4-5D6E-409C-BE32-E72D297353CC}">
                    <c16:uniqueId val="{00000001-D6D7-4CC4-947B-A204D2419F28}"/>
                  </c:ext>
                </c:extLst>
              </c15:ser>
            </c15:filteredLineSeries>
            <c15:filteredLineSeries>
              <c15:ser>
                <c:idx val="2"/>
                <c:order val="2"/>
                <c:tx>
                  <c:strRef>
                    <c:extLst>
                      <c:ext xmlns:c15="http://schemas.microsoft.com/office/drawing/2012/chart" uri="{02D57815-91ED-43cb-92C2-25804820EDAC}">
                        <c15:formulaRef>
                          <c15:sqref>'Tab 5 - Aha Moment and Metric A'!$D$27:$D$28</c15:sqref>
                        </c15:formulaRef>
                      </c:ext>
                    </c:extLst>
                    <c:strCache>
                      <c:ptCount val="2"/>
                      <c:pt idx="0">
                        <c:v>User</c:v>
                      </c:pt>
                      <c:pt idx="1">
                        <c:v>Retained + Action completed</c:v>
                      </c:pt>
                    </c:strCache>
                  </c:strRef>
                </c:tx>
                <c:spPr>
                  <a:ln w="28575" cap="rnd">
                    <a:solidFill>
                      <a:schemeClr val="accent3"/>
                    </a:solidFill>
                    <a:round/>
                  </a:ln>
                  <a:effectLst/>
                </c:spPr>
                <c:marker>
                  <c:symbol val="none"/>
                </c:marker>
                <c:cat>
                  <c:strRef>
                    <c:extLst>
                      <c:ext xmlns:c15="http://schemas.microsoft.com/office/drawing/2012/chart" uri="{02D57815-91ED-43cb-92C2-25804820EDAC}">
                        <c15:formulaRef>
                          <c15:sqref>'Tab 5 - Aha Moment and Metric A'!$A$29:$A$35</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5 - Aha Moment and Metric A'!$D$29:$D$35</c15:sqref>
                        </c15:formulaRef>
                      </c:ext>
                    </c:extLst>
                    <c:numCache>
                      <c:formatCode>General</c:formatCode>
                      <c:ptCount val="7"/>
                      <c:pt idx="0">
                        <c:v>800</c:v>
                      </c:pt>
                      <c:pt idx="1">
                        <c:v>627</c:v>
                      </c:pt>
                      <c:pt idx="2">
                        <c:v>532</c:v>
                      </c:pt>
                      <c:pt idx="3">
                        <c:v>458</c:v>
                      </c:pt>
                      <c:pt idx="4">
                        <c:v>359</c:v>
                      </c:pt>
                      <c:pt idx="5">
                        <c:v>306</c:v>
                      </c:pt>
                      <c:pt idx="6">
                        <c:v>187</c:v>
                      </c:pt>
                    </c:numCache>
                  </c:numRef>
                </c:val>
                <c:smooth val="0"/>
                <c:extLst>
                  <c:ext xmlns:c16="http://schemas.microsoft.com/office/drawing/2014/chart" uri="{C3380CC4-5D6E-409C-BE32-E72D297353CC}">
                    <c16:uniqueId val="{00000002-D6D7-4CC4-947B-A204D2419F28}"/>
                  </c:ext>
                </c:extLst>
              </c15:ser>
            </c15:filteredLineSeries>
            <c15:filteredLineSeries>
              <c15:ser>
                <c:idx val="3"/>
                <c:order val="3"/>
                <c:tx>
                  <c:strRef>
                    <c:extLst>
                      <c:ext xmlns:c15="http://schemas.microsoft.com/office/drawing/2012/chart" uri="{02D57815-91ED-43cb-92C2-25804820EDAC}">
                        <c15:formulaRef>
                          <c15:sqref>'Tab 5 - Aha Moment and Metric A'!$E$27:$E$28</c15:sqref>
                        </c15:formulaRef>
                      </c:ext>
                    </c:extLst>
                    <c:strCache>
                      <c:ptCount val="2"/>
                      <c:pt idx="0">
                        <c:v>User</c:v>
                      </c:pt>
                      <c:pt idx="1">
                        <c:v>Total Users</c:v>
                      </c:pt>
                    </c:strCache>
                  </c:strRef>
                </c:tx>
                <c:spPr>
                  <a:ln w="28575" cap="rnd">
                    <a:solidFill>
                      <a:schemeClr val="accent4"/>
                    </a:solidFill>
                    <a:round/>
                  </a:ln>
                  <a:effectLst/>
                </c:spPr>
                <c:marker>
                  <c:symbol val="none"/>
                </c:marker>
                <c:cat>
                  <c:strRef>
                    <c:extLst>
                      <c:ext xmlns:c15="http://schemas.microsoft.com/office/drawing/2012/chart" uri="{02D57815-91ED-43cb-92C2-25804820EDAC}">
                        <c15:formulaRef>
                          <c15:sqref>'Tab 5 - Aha Moment and Metric A'!$A$29:$A$35</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5 - Aha Moment and Metric A'!$E$29:$E$35</c15:sqref>
                        </c15:formulaRef>
                      </c:ext>
                    </c:extLst>
                    <c:numCache>
                      <c:formatCode>#,##0</c:formatCode>
                      <c:ptCount val="7"/>
                      <c:pt idx="0">
                        <c:v>1304</c:v>
                      </c:pt>
                      <c:pt idx="1">
                        <c:v>1063</c:v>
                      </c:pt>
                      <c:pt idx="2">
                        <c:v>940</c:v>
                      </c:pt>
                      <c:pt idx="3">
                        <c:v>832</c:v>
                      </c:pt>
                      <c:pt idx="4">
                        <c:v>869</c:v>
                      </c:pt>
                      <c:pt idx="5">
                        <c:v>836</c:v>
                      </c:pt>
                      <c:pt idx="6">
                        <c:v>823</c:v>
                      </c:pt>
                    </c:numCache>
                  </c:numRef>
                </c:val>
                <c:smooth val="0"/>
                <c:extLst>
                  <c:ext xmlns:c16="http://schemas.microsoft.com/office/drawing/2014/chart" uri="{C3380CC4-5D6E-409C-BE32-E72D297353CC}">
                    <c16:uniqueId val="{00000003-D6D7-4CC4-947B-A204D2419F28}"/>
                  </c:ext>
                </c:extLst>
              </c15:ser>
            </c15:filteredLineSeries>
          </c:ext>
        </c:extLst>
      </c:lineChart>
      <c:catAx>
        <c:axId val="51153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23936"/>
        <c:crosses val="autoZero"/>
        <c:auto val="1"/>
        <c:lblAlgn val="ctr"/>
        <c:lblOffset val="100"/>
        <c:noMultiLvlLbl val="0"/>
      </c:catAx>
      <c:valAx>
        <c:axId val="511523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36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4"/>
          <c:tx>
            <c:strRef>
              <c:f>'Tab 5 - Aha Moment and Metric A'!$F$39:$F$40</c:f>
              <c:strCache>
                <c:ptCount val="2"/>
                <c:pt idx="0">
                  <c:v>User</c:v>
                </c:pt>
                <c:pt idx="1">
                  <c:v>% Overlap</c:v>
                </c:pt>
              </c:strCache>
            </c:strRef>
          </c:tx>
          <c:spPr>
            <a:ln w="28575" cap="rnd">
              <a:solidFill>
                <a:schemeClr val="accent5"/>
              </a:solidFill>
              <a:round/>
            </a:ln>
            <a:effectLst/>
          </c:spPr>
          <c:marker>
            <c:symbol val="none"/>
          </c:marker>
          <c:cat>
            <c:strRef>
              <c:f>'Tab 5 - Aha Moment and Metric A'!$A$41:$A$47</c:f>
              <c:strCache>
                <c:ptCount val="7"/>
                <c:pt idx="0">
                  <c:v>1+</c:v>
                </c:pt>
                <c:pt idx="1">
                  <c:v>2+</c:v>
                </c:pt>
                <c:pt idx="2">
                  <c:v>3+</c:v>
                </c:pt>
                <c:pt idx="3">
                  <c:v>4+</c:v>
                </c:pt>
                <c:pt idx="4">
                  <c:v>5+</c:v>
                </c:pt>
                <c:pt idx="5">
                  <c:v>6+</c:v>
                </c:pt>
                <c:pt idx="6">
                  <c:v>7+</c:v>
                </c:pt>
              </c:strCache>
            </c:strRef>
          </c:cat>
          <c:val>
            <c:numRef>
              <c:f>'Tab 5 - Aha Moment and Metric A'!$F$41:$F$47</c:f>
              <c:numCache>
                <c:formatCode>0%</c:formatCode>
                <c:ptCount val="7"/>
                <c:pt idx="0">
                  <c:v>0.41699999999999998</c:v>
                </c:pt>
                <c:pt idx="1">
                  <c:v>0.4017</c:v>
                </c:pt>
                <c:pt idx="2">
                  <c:v>0.43830000000000002</c:v>
                </c:pt>
                <c:pt idx="3">
                  <c:v>0.42859999999999998</c:v>
                </c:pt>
                <c:pt idx="4">
                  <c:v>0.41310000000000002</c:v>
                </c:pt>
                <c:pt idx="5">
                  <c:v>0.36599999999999999</c:v>
                </c:pt>
                <c:pt idx="6">
                  <c:v>0.34870000000000001</c:v>
                </c:pt>
              </c:numCache>
            </c:numRef>
          </c:val>
          <c:smooth val="0"/>
          <c:extLst>
            <c:ext xmlns:c16="http://schemas.microsoft.com/office/drawing/2014/chart" uri="{C3380CC4-5D6E-409C-BE32-E72D297353CC}">
              <c16:uniqueId val="{00000004-A6D0-4A8C-8026-BD48BAE4BD4E}"/>
            </c:ext>
          </c:extLst>
        </c:ser>
        <c:dLbls>
          <c:showLegendKey val="0"/>
          <c:showVal val="0"/>
          <c:showCatName val="0"/>
          <c:showSerName val="0"/>
          <c:showPercent val="0"/>
          <c:showBubbleSize val="0"/>
        </c:dLbls>
        <c:smooth val="0"/>
        <c:axId val="511589216"/>
        <c:axId val="511590656"/>
        <c:extLst>
          <c:ext xmlns:c15="http://schemas.microsoft.com/office/drawing/2012/chart" uri="{02D57815-91ED-43cb-92C2-25804820EDAC}">
            <c15:filteredLineSeries>
              <c15:ser>
                <c:idx val="0"/>
                <c:order val="0"/>
                <c:tx>
                  <c:strRef>
                    <c:extLst>
                      <c:ext uri="{02D57815-91ED-43cb-92C2-25804820EDAC}">
                        <c15:formulaRef>
                          <c15:sqref>'Tab 5 - Aha Moment and Metric A'!$B$39:$B$40</c15:sqref>
                        </c15:formulaRef>
                      </c:ext>
                    </c:extLst>
                    <c:strCache>
                      <c:ptCount val="2"/>
                      <c:pt idx="0">
                        <c:v>User</c:v>
                      </c:pt>
                      <c:pt idx="1">
                        <c:v>Action Completed</c:v>
                      </c:pt>
                    </c:strCache>
                  </c:strRef>
                </c:tx>
                <c:spPr>
                  <a:ln w="28575" cap="rnd">
                    <a:solidFill>
                      <a:schemeClr val="accent1"/>
                    </a:solidFill>
                    <a:round/>
                  </a:ln>
                  <a:effectLst/>
                </c:spPr>
                <c:marker>
                  <c:symbol val="none"/>
                </c:marker>
                <c:cat>
                  <c:strRef>
                    <c:extLst>
                      <c:ext uri="{02D57815-91ED-43cb-92C2-25804820EDAC}">
                        <c15:formulaRef>
                          <c15:sqref>'Tab 5 - Aha Moment and Metric A'!$A$41:$A$47</c15:sqref>
                        </c15:formulaRef>
                      </c:ext>
                    </c:extLst>
                    <c:strCache>
                      <c:ptCount val="7"/>
                      <c:pt idx="0">
                        <c:v>1+</c:v>
                      </c:pt>
                      <c:pt idx="1">
                        <c:v>2+</c:v>
                      </c:pt>
                      <c:pt idx="2">
                        <c:v>3+</c:v>
                      </c:pt>
                      <c:pt idx="3">
                        <c:v>4+</c:v>
                      </c:pt>
                      <c:pt idx="4">
                        <c:v>5+</c:v>
                      </c:pt>
                      <c:pt idx="5">
                        <c:v>6+</c:v>
                      </c:pt>
                      <c:pt idx="6">
                        <c:v>7+</c:v>
                      </c:pt>
                    </c:strCache>
                  </c:strRef>
                </c:cat>
                <c:val>
                  <c:numRef>
                    <c:extLst>
                      <c:ext uri="{02D57815-91ED-43cb-92C2-25804820EDAC}">
                        <c15:formulaRef>
                          <c15:sqref>'Tab 5 - Aha Moment and Metric A'!$B$41:$B$47</c15:sqref>
                        </c15:formulaRef>
                      </c:ext>
                    </c:extLst>
                    <c:numCache>
                      <c:formatCode>General</c:formatCode>
                      <c:ptCount val="7"/>
                      <c:pt idx="0">
                        <c:v>1104</c:v>
                      </c:pt>
                      <c:pt idx="1">
                        <c:v>690</c:v>
                      </c:pt>
                      <c:pt idx="2">
                        <c:v>552</c:v>
                      </c:pt>
                      <c:pt idx="3">
                        <c:v>460</c:v>
                      </c:pt>
                      <c:pt idx="4">
                        <c:v>428</c:v>
                      </c:pt>
                      <c:pt idx="5">
                        <c:v>352</c:v>
                      </c:pt>
                      <c:pt idx="6">
                        <c:v>310</c:v>
                      </c:pt>
                    </c:numCache>
                  </c:numRef>
                </c:val>
                <c:smooth val="0"/>
                <c:extLst>
                  <c:ext xmlns:c16="http://schemas.microsoft.com/office/drawing/2014/chart" uri="{C3380CC4-5D6E-409C-BE32-E72D297353CC}">
                    <c16:uniqueId val="{00000000-A6D0-4A8C-8026-BD48BAE4BD4E}"/>
                  </c:ext>
                </c:extLst>
              </c15:ser>
            </c15:filteredLineSeries>
            <c15:filteredLineSeries>
              <c15:ser>
                <c:idx val="1"/>
                <c:order val="1"/>
                <c:tx>
                  <c:strRef>
                    <c:extLst>
                      <c:ext xmlns:c15="http://schemas.microsoft.com/office/drawing/2012/chart" uri="{02D57815-91ED-43cb-92C2-25804820EDAC}">
                        <c15:formulaRef>
                          <c15:sqref>'Tab 5 - Aha Moment and Metric A'!$C$39:$C$40</c15:sqref>
                        </c15:formulaRef>
                      </c:ext>
                    </c:extLst>
                    <c:strCache>
                      <c:ptCount val="2"/>
                      <c:pt idx="0">
                        <c:v>User</c:v>
                      </c:pt>
                      <c:pt idx="1">
                        <c:v>Retained + Action NOT completed</c:v>
                      </c:pt>
                    </c:strCache>
                  </c:strRef>
                </c:tx>
                <c:spPr>
                  <a:ln w="28575" cap="rnd">
                    <a:solidFill>
                      <a:schemeClr val="accent2"/>
                    </a:solidFill>
                    <a:round/>
                  </a:ln>
                  <a:effectLst/>
                </c:spPr>
                <c:marker>
                  <c:symbol val="none"/>
                </c:marker>
                <c:cat>
                  <c:strRef>
                    <c:extLst>
                      <c:ext xmlns:c15="http://schemas.microsoft.com/office/drawing/2012/chart" uri="{02D57815-91ED-43cb-92C2-25804820EDAC}">
                        <c15:formulaRef>
                          <c15:sqref>'Tab 5 - Aha Moment and Metric A'!$A$41:$A$47</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5 - Aha Moment and Metric A'!$C$41:$C$47</c15:sqref>
                        </c15:formulaRef>
                      </c:ext>
                    </c:extLst>
                    <c:numCache>
                      <c:formatCode>General</c:formatCode>
                      <c:ptCount val="7"/>
                      <c:pt idx="0">
                        <c:v>342</c:v>
                      </c:pt>
                      <c:pt idx="1">
                        <c:v>373</c:v>
                      </c:pt>
                      <c:pt idx="2">
                        <c:v>388</c:v>
                      </c:pt>
                      <c:pt idx="3">
                        <c:v>422</c:v>
                      </c:pt>
                      <c:pt idx="4">
                        <c:v>441</c:v>
                      </c:pt>
                      <c:pt idx="5">
                        <c:v>484</c:v>
                      </c:pt>
                      <c:pt idx="6">
                        <c:v>513</c:v>
                      </c:pt>
                    </c:numCache>
                  </c:numRef>
                </c:val>
                <c:smooth val="0"/>
                <c:extLst>
                  <c:ext xmlns:c16="http://schemas.microsoft.com/office/drawing/2014/chart" uri="{C3380CC4-5D6E-409C-BE32-E72D297353CC}">
                    <c16:uniqueId val="{00000001-A6D0-4A8C-8026-BD48BAE4BD4E}"/>
                  </c:ext>
                </c:extLst>
              </c15:ser>
            </c15:filteredLineSeries>
            <c15:filteredLineSeries>
              <c15:ser>
                <c:idx val="2"/>
                <c:order val="2"/>
                <c:tx>
                  <c:strRef>
                    <c:extLst>
                      <c:ext xmlns:c15="http://schemas.microsoft.com/office/drawing/2012/chart" uri="{02D57815-91ED-43cb-92C2-25804820EDAC}">
                        <c15:formulaRef>
                          <c15:sqref>'Tab 5 - Aha Moment and Metric A'!$D$39:$D$40</c15:sqref>
                        </c15:formulaRef>
                      </c:ext>
                    </c:extLst>
                    <c:strCache>
                      <c:ptCount val="2"/>
                      <c:pt idx="0">
                        <c:v>User</c:v>
                      </c:pt>
                      <c:pt idx="1">
                        <c:v>Retained + Action completed</c:v>
                      </c:pt>
                    </c:strCache>
                  </c:strRef>
                </c:tx>
                <c:spPr>
                  <a:ln w="28575" cap="rnd">
                    <a:solidFill>
                      <a:schemeClr val="accent3"/>
                    </a:solidFill>
                    <a:round/>
                  </a:ln>
                  <a:effectLst/>
                </c:spPr>
                <c:marker>
                  <c:symbol val="none"/>
                </c:marker>
                <c:cat>
                  <c:strRef>
                    <c:extLst>
                      <c:ext xmlns:c15="http://schemas.microsoft.com/office/drawing/2012/chart" uri="{02D57815-91ED-43cb-92C2-25804820EDAC}">
                        <c15:formulaRef>
                          <c15:sqref>'Tab 5 - Aha Moment and Metric A'!$A$41:$A$47</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5 - Aha Moment and Metric A'!$D$41:$D$47</c15:sqref>
                        </c15:formulaRef>
                      </c:ext>
                    </c:extLst>
                    <c:numCache>
                      <c:formatCode>General</c:formatCode>
                      <c:ptCount val="7"/>
                      <c:pt idx="0">
                        <c:v>603</c:v>
                      </c:pt>
                      <c:pt idx="1">
                        <c:v>427</c:v>
                      </c:pt>
                      <c:pt idx="2">
                        <c:v>412</c:v>
                      </c:pt>
                      <c:pt idx="3">
                        <c:v>378</c:v>
                      </c:pt>
                      <c:pt idx="4">
                        <c:v>359</c:v>
                      </c:pt>
                      <c:pt idx="5">
                        <c:v>306</c:v>
                      </c:pt>
                      <c:pt idx="6">
                        <c:v>287</c:v>
                      </c:pt>
                    </c:numCache>
                  </c:numRef>
                </c:val>
                <c:smooth val="0"/>
                <c:extLst>
                  <c:ext xmlns:c16="http://schemas.microsoft.com/office/drawing/2014/chart" uri="{C3380CC4-5D6E-409C-BE32-E72D297353CC}">
                    <c16:uniqueId val="{00000002-A6D0-4A8C-8026-BD48BAE4BD4E}"/>
                  </c:ext>
                </c:extLst>
              </c15:ser>
            </c15:filteredLineSeries>
            <c15:filteredLineSeries>
              <c15:ser>
                <c:idx val="3"/>
                <c:order val="3"/>
                <c:tx>
                  <c:strRef>
                    <c:extLst>
                      <c:ext xmlns:c15="http://schemas.microsoft.com/office/drawing/2012/chart" uri="{02D57815-91ED-43cb-92C2-25804820EDAC}">
                        <c15:formulaRef>
                          <c15:sqref>'Tab 5 - Aha Moment and Metric A'!$E$39:$E$40</c15:sqref>
                        </c15:formulaRef>
                      </c:ext>
                    </c:extLst>
                    <c:strCache>
                      <c:ptCount val="2"/>
                      <c:pt idx="0">
                        <c:v>User</c:v>
                      </c:pt>
                      <c:pt idx="1">
                        <c:v>Total Users</c:v>
                      </c:pt>
                    </c:strCache>
                  </c:strRef>
                </c:tx>
                <c:spPr>
                  <a:ln w="28575" cap="rnd">
                    <a:solidFill>
                      <a:schemeClr val="accent4"/>
                    </a:solidFill>
                    <a:round/>
                  </a:ln>
                  <a:effectLst/>
                </c:spPr>
                <c:marker>
                  <c:symbol val="none"/>
                </c:marker>
                <c:cat>
                  <c:strRef>
                    <c:extLst>
                      <c:ext xmlns:c15="http://schemas.microsoft.com/office/drawing/2012/chart" uri="{02D57815-91ED-43cb-92C2-25804820EDAC}">
                        <c15:formulaRef>
                          <c15:sqref>'Tab 5 - Aha Moment and Metric A'!$A$41:$A$47</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5 - Aha Moment and Metric A'!$E$41:$E$47</c15:sqref>
                        </c15:formulaRef>
                      </c:ext>
                    </c:extLst>
                    <c:numCache>
                      <c:formatCode>#,##0</c:formatCode>
                      <c:ptCount val="7"/>
                      <c:pt idx="0">
                        <c:v>1446</c:v>
                      </c:pt>
                      <c:pt idx="1">
                        <c:v>1063</c:v>
                      </c:pt>
                      <c:pt idx="2">
                        <c:v>940</c:v>
                      </c:pt>
                      <c:pt idx="3">
                        <c:v>882</c:v>
                      </c:pt>
                      <c:pt idx="4">
                        <c:v>869</c:v>
                      </c:pt>
                      <c:pt idx="5">
                        <c:v>836</c:v>
                      </c:pt>
                      <c:pt idx="6">
                        <c:v>823</c:v>
                      </c:pt>
                    </c:numCache>
                  </c:numRef>
                </c:val>
                <c:smooth val="0"/>
                <c:extLst>
                  <c:ext xmlns:c16="http://schemas.microsoft.com/office/drawing/2014/chart" uri="{C3380CC4-5D6E-409C-BE32-E72D297353CC}">
                    <c16:uniqueId val="{00000003-A6D0-4A8C-8026-BD48BAE4BD4E}"/>
                  </c:ext>
                </c:extLst>
              </c15:ser>
            </c15:filteredLineSeries>
          </c:ext>
        </c:extLst>
      </c:lineChart>
      <c:catAx>
        <c:axId val="51158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90656"/>
        <c:crosses val="autoZero"/>
        <c:auto val="1"/>
        <c:lblAlgn val="ctr"/>
        <c:lblOffset val="100"/>
        <c:noMultiLvlLbl val="0"/>
      </c:catAx>
      <c:valAx>
        <c:axId val="5115906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89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4"/>
          <c:tx>
            <c:strRef>
              <c:f>'Tab 6 - Setup Moment and Metric'!$F$14:$F$15</c:f>
              <c:strCache>
                <c:ptCount val="2"/>
                <c:pt idx="0">
                  <c:v>User</c:v>
                </c:pt>
                <c:pt idx="1">
                  <c:v>% Overlap</c:v>
                </c:pt>
              </c:strCache>
            </c:strRef>
          </c:tx>
          <c:spPr>
            <a:ln w="28575" cap="rnd">
              <a:solidFill>
                <a:schemeClr val="accent5"/>
              </a:solidFill>
              <a:round/>
            </a:ln>
            <a:effectLst/>
          </c:spPr>
          <c:marker>
            <c:symbol val="none"/>
          </c:marker>
          <c:cat>
            <c:strRef>
              <c:f>'Tab 6 - Setup Moment and Metric'!$A$16:$A$22</c:f>
              <c:strCache>
                <c:ptCount val="7"/>
                <c:pt idx="0">
                  <c:v>1+</c:v>
                </c:pt>
                <c:pt idx="1">
                  <c:v>2+</c:v>
                </c:pt>
                <c:pt idx="2">
                  <c:v>3+</c:v>
                </c:pt>
                <c:pt idx="3">
                  <c:v>4+</c:v>
                </c:pt>
                <c:pt idx="4">
                  <c:v>5+</c:v>
                </c:pt>
                <c:pt idx="5">
                  <c:v>6+</c:v>
                </c:pt>
                <c:pt idx="6">
                  <c:v>7+</c:v>
                </c:pt>
              </c:strCache>
            </c:strRef>
          </c:cat>
          <c:val>
            <c:numRef>
              <c:f>'Tab 6 - Setup Moment and Metric'!$F$16:$F$22</c:f>
              <c:numCache>
                <c:formatCode>0%</c:formatCode>
                <c:ptCount val="7"/>
                <c:pt idx="0">
                  <c:v>0.39</c:v>
                </c:pt>
                <c:pt idx="1">
                  <c:v>0.36720000000000003</c:v>
                </c:pt>
                <c:pt idx="2">
                  <c:v>0.3962</c:v>
                </c:pt>
                <c:pt idx="3">
                  <c:v>0.38490000000000002</c:v>
                </c:pt>
                <c:pt idx="4">
                  <c:v>0.3705</c:v>
                </c:pt>
                <c:pt idx="5">
                  <c:v>0.32690000000000002</c:v>
                </c:pt>
                <c:pt idx="6">
                  <c:v>0.31090000000000001</c:v>
                </c:pt>
              </c:numCache>
            </c:numRef>
          </c:val>
          <c:smooth val="0"/>
          <c:extLst>
            <c:ext xmlns:c16="http://schemas.microsoft.com/office/drawing/2014/chart" uri="{C3380CC4-5D6E-409C-BE32-E72D297353CC}">
              <c16:uniqueId val="{00000004-6324-41EA-92D3-0C7BC9F46349}"/>
            </c:ext>
          </c:extLst>
        </c:ser>
        <c:dLbls>
          <c:showLegendKey val="0"/>
          <c:showVal val="0"/>
          <c:showCatName val="0"/>
          <c:showSerName val="0"/>
          <c:showPercent val="0"/>
          <c:showBubbleSize val="0"/>
        </c:dLbls>
        <c:smooth val="0"/>
        <c:axId val="511539296"/>
        <c:axId val="511540256"/>
        <c:extLst>
          <c:ext xmlns:c15="http://schemas.microsoft.com/office/drawing/2012/chart" uri="{02D57815-91ED-43cb-92C2-25804820EDAC}">
            <c15:filteredLineSeries>
              <c15:ser>
                <c:idx val="0"/>
                <c:order val="0"/>
                <c:tx>
                  <c:strRef>
                    <c:extLst>
                      <c:ext uri="{02D57815-91ED-43cb-92C2-25804820EDAC}">
                        <c15:formulaRef>
                          <c15:sqref>'Tab 6 - Setup Moment and Metric'!$B$14:$B$15</c15:sqref>
                        </c15:formulaRef>
                      </c:ext>
                    </c:extLst>
                    <c:strCache>
                      <c:ptCount val="2"/>
                      <c:pt idx="0">
                        <c:v>User</c:v>
                      </c:pt>
                      <c:pt idx="1">
                        <c:v>Action Completed</c:v>
                      </c:pt>
                    </c:strCache>
                  </c:strRef>
                </c:tx>
                <c:spPr>
                  <a:ln w="28575" cap="rnd">
                    <a:solidFill>
                      <a:schemeClr val="accent1"/>
                    </a:solidFill>
                    <a:round/>
                  </a:ln>
                  <a:effectLst/>
                </c:spPr>
                <c:marker>
                  <c:symbol val="none"/>
                </c:marker>
                <c:cat>
                  <c:strRef>
                    <c:extLst>
                      <c:ext uri="{02D57815-91ED-43cb-92C2-25804820EDAC}">
                        <c15:formulaRef>
                          <c15:sqref>'Tab 6 - Setup Moment and Metric'!$A$16:$A$22</c15:sqref>
                        </c15:formulaRef>
                      </c:ext>
                    </c:extLst>
                    <c:strCache>
                      <c:ptCount val="7"/>
                      <c:pt idx="0">
                        <c:v>1+</c:v>
                      </c:pt>
                      <c:pt idx="1">
                        <c:v>2+</c:v>
                      </c:pt>
                      <c:pt idx="2">
                        <c:v>3+</c:v>
                      </c:pt>
                      <c:pt idx="3">
                        <c:v>4+</c:v>
                      </c:pt>
                      <c:pt idx="4">
                        <c:v>5+</c:v>
                      </c:pt>
                      <c:pt idx="5">
                        <c:v>6+</c:v>
                      </c:pt>
                      <c:pt idx="6">
                        <c:v>7+</c:v>
                      </c:pt>
                    </c:strCache>
                  </c:strRef>
                </c:cat>
                <c:val>
                  <c:numRef>
                    <c:extLst>
                      <c:ext uri="{02D57815-91ED-43cb-92C2-25804820EDAC}">
                        <c15:formulaRef>
                          <c15:sqref>'Tab 6 - Setup Moment and Metric'!$B$16:$B$22</c15:sqref>
                        </c15:formulaRef>
                      </c:ext>
                    </c:extLst>
                    <c:numCache>
                      <c:formatCode>General</c:formatCode>
                      <c:ptCount val="7"/>
                      <c:pt idx="0">
                        <c:v>1204</c:v>
                      </c:pt>
                      <c:pt idx="1">
                        <c:v>790</c:v>
                      </c:pt>
                      <c:pt idx="2">
                        <c:v>652</c:v>
                      </c:pt>
                      <c:pt idx="3">
                        <c:v>560</c:v>
                      </c:pt>
                      <c:pt idx="4">
                        <c:v>528</c:v>
                      </c:pt>
                      <c:pt idx="5">
                        <c:v>452</c:v>
                      </c:pt>
                      <c:pt idx="6">
                        <c:v>410</c:v>
                      </c:pt>
                    </c:numCache>
                  </c:numRef>
                </c:val>
                <c:smooth val="0"/>
                <c:extLst>
                  <c:ext xmlns:c16="http://schemas.microsoft.com/office/drawing/2014/chart" uri="{C3380CC4-5D6E-409C-BE32-E72D297353CC}">
                    <c16:uniqueId val="{00000000-6324-41EA-92D3-0C7BC9F46349}"/>
                  </c:ext>
                </c:extLst>
              </c15:ser>
            </c15:filteredLineSeries>
            <c15:filteredLineSeries>
              <c15:ser>
                <c:idx val="1"/>
                <c:order val="1"/>
                <c:tx>
                  <c:strRef>
                    <c:extLst>
                      <c:ext xmlns:c15="http://schemas.microsoft.com/office/drawing/2012/chart" uri="{02D57815-91ED-43cb-92C2-25804820EDAC}">
                        <c15:formulaRef>
                          <c15:sqref>'Tab 6 - Setup Moment and Metric'!$C$14:$C$15</c15:sqref>
                        </c15:formulaRef>
                      </c:ext>
                    </c:extLst>
                    <c:strCache>
                      <c:ptCount val="2"/>
                      <c:pt idx="0">
                        <c:v>User</c:v>
                      </c:pt>
                      <c:pt idx="1">
                        <c:v>Retained + Action NOT completed</c:v>
                      </c:pt>
                    </c:strCache>
                  </c:strRef>
                </c:tx>
                <c:spPr>
                  <a:ln w="28575" cap="rnd">
                    <a:solidFill>
                      <a:schemeClr val="accent2"/>
                    </a:solidFill>
                    <a:round/>
                  </a:ln>
                  <a:effectLst/>
                </c:spPr>
                <c:marker>
                  <c:symbol val="none"/>
                </c:marker>
                <c:cat>
                  <c:strRef>
                    <c:extLst>
                      <c:ext xmlns:c15="http://schemas.microsoft.com/office/drawing/2012/chart" uri="{02D57815-91ED-43cb-92C2-25804820EDAC}">
                        <c15:formulaRef>
                          <c15:sqref>'Tab 6 - Setup Moment and Metric'!$A$16:$A$22</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6 - Setup Moment and Metric'!$C$16:$C$22</c15:sqref>
                        </c15:formulaRef>
                      </c:ext>
                    </c:extLst>
                    <c:numCache>
                      <c:formatCode>General</c:formatCode>
                      <c:ptCount val="7"/>
                      <c:pt idx="0">
                        <c:v>342</c:v>
                      </c:pt>
                      <c:pt idx="1">
                        <c:v>373</c:v>
                      </c:pt>
                      <c:pt idx="2">
                        <c:v>388</c:v>
                      </c:pt>
                      <c:pt idx="3">
                        <c:v>422</c:v>
                      </c:pt>
                      <c:pt idx="4">
                        <c:v>441</c:v>
                      </c:pt>
                      <c:pt idx="5">
                        <c:v>484</c:v>
                      </c:pt>
                      <c:pt idx="6">
                        <c:v>513</c:v>
                      </c:pt>
                    </c:numCache>
                  </c:numRef>
                </c:val>
                <c:smooth val="0"/>
                <c:extLst>
                  <c:ext xmlns:c16="http://schemas.microsoft.com/office/drawing/2014/chart" uri="{C3380CC4-5D6E-409C-BE32-E72D297353CC}">
                    <c16:uniqueId val="{00000001-6324-41EA-92D3-0C7BC9F46349}"/>
                  </c:ext>
                </c:extLst>
              </c15:ser>
            </c15:filteredLineSeries>
            <c15:filteredLineSeries>
              <c15:ser>
                <c:idx val="2"/>
                <c:order val="2"/>
                <c:tx>
                  <c:strRef>
                    <c:extLst>
                      <c:ext xmlns:c15="http://schemas.microsoft.com/office/drawing/2012/chart" uri="{02D57815-91ED-43cb-92C2-25804820EDAC}">
                        <c15:formulaRef>
                          <c15:sqref>'Tab 6 - Setup Moment and Metric'!$D$14:$D$15</c15:sqref>
                        </c15:formulaRef>
                      </c:ext>
                    </c:extLst>
                    <c:strCache>
                      <c:ptCount val="2"/>
                      <c:pt idx="0">
                        <c:v>User</c:v>
                      </c:pt>
                      <c:pt idx="1">
                        <c:v>Retained + Action completed</c:v>
                      </c:pt>
                    </c:strCache>
                  </c:strRef>
                </c:tx>
                <c:spPr>
                  <a:ln w="28575" cap="rnd">
                    <a:solidFill>
                      <a:schemeClr val="accent3"/>
                    </a:solidFill>
                    <a:round/>
                  </a:ln>
                  <a:effectLst/>
                </c:spPr>
                <c:marker>
                  <c:symbol val="none"/>
                </c:marker>
                <c:cat>
                  <c:strRef>
                    <c:extLst>
                      <c:ext xmlns:c15="http://schemas.microsoft.com/office/drawing/2012/chart" uri="{02D57815-91ED-43cb-92C2-25804820EDAC}">
                        <c15:formulaRef>
                          <c15:sqref>'Tab 6 - Setup Moment and Metric'!$A$16:$A$22</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6 - Setup Moment and Metric'!$D$16:$D$22</c15:sqref>
                        </c15:formulaRef>
                      </c:ext>
                    </c:extLst>
                    <c:numCache>
                      <c:formatCode>General</c:formatCode>
                      <c:ptCount val="7"/>
                      <c:pt idx="0">
                        <c:v>603</c:v>
                      </c:pt>
                      <c:pt idx="1">
                        <c:v>427</c:v>
                      </c:pt>
                      <c:pt idx="2">
                        <c:v>412</c:v>
                      </c:pt>
                      <c:pt idx="3">
                        <c:v>378</c:v>
                      </c:pt>
                      <c:pt idx="4">
                        <c:v>359</c:v>
                      </c:pt>
                      <c:pt idx="5">
                        <c:v>306</c:v>
                      </c:pt>
                      <c:pt idx="6">
                        <c:v>287</c:v>
                      </c:pt>
                    </c:numCache>
                  </c:numRef>
                </c:val>
                <c:smooth val="0"/>
                <c:extLst>
                  <c:ext xmlns:c16="http://schemas.microsoft.com/office/drawing/2014/chart" uri="{C3380CC4-5D6E-409C-BE32-E72D297353CC}">
                    <c16:uniqueId val="{00000002-6324-41EA-92D3-0C7BC9F46349}"/>
                  </c:ext>
                </c:extLst>
              </c15:ser>
            </c15:filteredLineSeries>
            <c15:filteredLineSeries>
              <c15:ser>
                <c:idx val="3"/>
                <c:order val="3"/>
                <c:tx>
                  <c:strRef>
                    <c:extLst>
                      <c:ext xmlns:c15="http://schemas.microsoft.com/office/drawing/2012/chart" uri="{02D57815-91ED-43cb-92C2-25804820EDAC}">
                        <c15:formulaRef>
                          <c15:sqref>'Tab 6 - Setup Moment and Metric'!$E$14:$E$15</c15:sqref>
                        </c15:formulaRef>
                      </c:ext>
                    </c:extLst>
                    <c:strCache>
                      <c:ptCount val="2"/>
                      <c:pt idx="0">
                        <c:v>User</c:v>
                      </c:pt>
                      <c:pt idx="1">
                        <c:v>Total Users</c:v>
                      </c:pt>
                    </c:strCache>
                  </c:strRef>
                </c:tx>
                <c:spPr>
                  <a:ln w="28575" cap="rnd">
                    <a:solidFill>
                      <a:schemeClr val="accent4"/>
                    </a:solidFill>
                    <a:round/>
                  </a:ln>
                  <a:effectLst/>
                </c:spPr>
                <c:marker>
                  <c:symbol val="none"/>
                </c:marker>
                <c:cat>
                  <c:strRef>
                    <c:extLst>
                      <c:ext xmlns:c15="http://schemas.microsoft.com/office/drawing/2012/chart" uri="{02D57815-91ED-43cb-92C2-25804820EDAC}">
                        <c15:formulaRef>
                          <c15:sqref>'Tab 6 - Setup Moment and Metric'!$A$16:$A$22</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6 - Setup Moment and Metric'!$E$16:$E$22</c15:sqref>
                        </c15:formulaRef>
                      </c:ext>
                    </c:extLst>
                    <c:numCache>
                      <c:formatCode>#,##0</c:formatCode>
                      <c:ptCount val="7"/>
                      <c:pt idx="0">
                        <c:v>1546</c:v>
                      </c:pt>
                      <c:pt idx="1">
                        <c:v>1163</c:v>
                      </c:pt>
                      <c:pt idx="2">
                        <c:v>1040</c:v>
                      </c:pt>
                      <c:pt idx="3">
                        <c:v>982</c:v>
                      </c:pt>
                      <c:pt idx="4">
                        <c:v>969</c:v>
                      </c:pt>
                      <c:pt idx="5">
                        <c:v>936</c:v>
                      </c:pt>
                      <c:pt idx="6">
                        <c:v>923</c:v>
                      </c:pt>
                    </c:numCache>
                  </c:numRef>
                </c:val>
                <c:smooth val="0"/>
                <c:extLst>
                  <c:ext xmlns:c16="http://schemas.microsoft.com/office/drawing/2014/chart" uri="{C3380CC4-5D6E-409C-BE32-E72D297353CC}">
                    <c16:uniqueId val="{00000003-6324-41EA-92D3-0C7BC9F46349}"/>
                  </c:ext>
                </c:extLst>
              </c15:ser>
            </c15:filteredLineSeries>
          </c:ext>
        </c:extLst>
      </c:lineChart>
      <c:catAx>
        <c:axId val="5115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40256"/>
        <c:crosses val="autoZero"/>
        <c:auto val="1"/>
        <c:lblAlgn val="ctr"/>
        <c:lblOffset val="100"/>
        <c:noMultiLvlLbl val="0"/>
      </c:catAx>
      <c:valAx>
        <c:axId val="5115402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392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4"/>
          <c:tx>
            <c:strRef>
              <c:f>'Tab 6 - Setup Moment and Metric'!$F$26:$F$27</c:f>
              <c:strCache>
                <c:ptCount val="2"/>
                <c:pt idx="0">
                  <c:v>User</c:v>
                </c:pt>
                <c:pt idx="1">
                  <c:v>% Overlap</c:v>
                </c:pt>
              </c:strCache>
            </c:strRef>
          </c:tx>
          <c:spPr>
            <a:ln w="28575" cap="rnd">
              <a:solidFill>
                <a:schemeClr val="accent5"/>
              </a:solidFill>
              <a:round/>
            </a:ln>
            <a:effectLst/>
          </c:spPr>
          <c:marker>
            <c:symbol val="none"/>
          </c:marker>
          <c:cat>
            <c:strRef>
              <c:f>'Tab 6 - Setup Moment and Metric'!$A$28:$A$34</c:f>
              <c:strCache>
                <c:ptCount val="7"/>
                <c:pt idx="0">
                  <c:v>1+</c:v>
                </c:pt>
                <c:pt idx="1">
                  <c:v>2+</c:v>
                </c:pt>
                <c:pt idx="2">
                  <c:v>3+</c:v>
                </c:pt>
                <c:pt idx="3">
                  <c:v>4+</c:v>
                </c:pt>
                <c:pt idx="4">
                  <c:v>5+</c:v>
                </c:pt>
                <c:pt idx="5">
                  <c:v>6+</c:v>
                </c:pt>
                <c:pt idx="6">
                  <c:v>7+</c:v>
                </c:pt>
              </c:strCache>
            </c:strRef>
          </c:cat>
          <c:val>
            <c:numRef>
              <c:f>'Tab 6 - Setup Moment and Metric'!$F$28:$F$34</c:f>
              <c:numCache>
                <c:formatCode>0%</c:formatCode>
                <c:ptCount val="7"/>
                <c:pt idx="0">
                  <c:v>0.56979999999999997</c:v>
                </c:pt>
                <c:pt idx="1">
                  <c:v>0.53910000000000002</c:v>
                </c:pt>
                <c:pt idx="2">
                  <c:v>0.52780000000000005</c:v>
                </c:pt>
                <c:pt idx="3">
                  <c:v>0.51929999999999998</c:v>
                </c:pt>
                <c:pt idx="4">
                  <c:v>0.50349999999999995</c:v>
                </c:pt>
                <c:pt idx="5">
                  <c:v>0.49430000000000002</c:v>
                </c:pt>
                <c:pt idx="6">
                  <c:v>0.46879999999999999</c:v>
                </c:pt>
              </c:numCache>
            </c:numRef>
          </c:val>
          <c:smooth val="0"/>
          <c:extLst>
            <c:ext xmlns:c16="http://schemas.microsoft.com/office/drawing/2014/chart" uri="{C3380CC4-5D6E-409C-BE32-E72D297353CC}">
              <c16:uniqueId val="{00000004-8B2A-4CA2-979E-8005F0ADD7D5}"/>
            </c:ext>
          </c:extLst>
        </c:ser>
        <c:dLbls>
          <c:showLegendKey val="0"/>
          <c:showVal val="0"/>
          <c:showCatName val="0"/>
          <c:showSerName val="0"/>
          <c:showPercent val="0"/>
          <c:showBubbleSize val="0"/>
        </c:dLbls>
        <c:smooth val="0"/>
        <c:axId val="511561376"/>
        <c:axId val="511566176"/>
        <c:extLst>
          <c:ext xmlns:c15="http://schemas.microsoft.com/office/drawing/2012/chart" uri="{02D57815-91ED-43cb-92C2-25804820EDAC}">
            <c15:filteredLineSeries>
              <c15:ser>
                <c:idx val="0"/>
                <c:order val="0"/>
                <c:tx>
                  <c:strRef>
                    <c:extLst>
                      <c:ext uri="{02D57815-91ED-43cb-92C2-25804820EDAC}">
                        <c15:formulaRef>
                          <c15:sqref>'Tab 6 - Setup Moment and Metric'!$B$26:$B$27</c15:sqref>
                        </c15:formulaRef>
                      </c:ext>
                    </c:extLst>
                    <c:strCache>
                      <c:ptCount val="2"/>
                      <c:pt idx="0">
                        <c:v>User</c:v>
                      </c:pt>
                      <c:pt idx="1">
                        <c:v>Action Completed</c:v>
                      </c:pt>
                    </c:strCache>
                  </c:strRef>
                </c:tx>
                <c:spPr>
                  <a:ln w="28575" cap="rnd">
                    <a:solidFill>
                      <a:schemeClr val="accent1"/>
                    </a:solidFill>
                    <a:round/>
                  </a:ln>
                  <a:effectLst/>
                </c:spPr>
                <c:marker>
                  <c:symbol val="none"/>
                </c:marker>
                <c:cat>
                  <c:strRef>
                    <c:extLst>
                      <c:ext uri="{02D57815-91ED-43cb-92C2-25804820EDAC}">
                        <c15:formulaRef>
                          <c15:sqref>'Tab 6 - Setup Moment and Metric'!$A$28:$A$34</c15:sqref>
                        </c15:formulaRef>
                      </c:ext>
                    </c:extLst>
                    <c:strCache>
                      <c:ptCount val="7"/>
                      <c:pt idx="0">
                        <c:v>1+</c:v>
                      </c:pt>
                      <c:pt idx="1">
                        <c:v>2+</c:v>
                      </c:pt>
                      <c:pt idx="2">
                        <c:v>3+</c:v>
                      </c:pt>
                      <c:pt idx="3">
                        <c:v>4+</c:v>
                      </c:pt>
                      <c:pt idx="4">
                        <c:v>5+</c:v>
                      </c:pt>
                      <c:pt idx="5">
                        <c:v>6+</c:v>
                      </c:pt>
                      <c:pt idx="6">
                        <c:v>7+</c:v>
                      </c:pt>
                    </c:strCache>
                  </c:strRef>
                </c:cat>
                <c:val>
                  <c:numRef>
                    <c:extLst>
                      <c:ext uri="{02D57815-91ED-43cb-92C2-25804820EDAC}">
                        <c15:formulaRef>
                          <c15:sqref>'Tab 6 - Setup Moment and Metric'!$B$28:$B$34</c15:sqref>
                        </c15:formulaRef>
                      </c:ext>
                    </c:extLst>
                    <c:numCache>
                      <c:formatCode>General</c:formatCode>
                      <c:ptCount val="7"/>
                      <c:pt idx="0">
                        <c:v>1204</c:v>
                      </c:pt>
                      <c:pt idx="1">
                        <c:v>790</c:v>
                      </c:pt>
                      <c:pt idx="2">
                        <c:v>620</c:v>
                      </c:pt>
                      <c:pt idx="3">
                        <c:v>510</c:v>
                      </c:pt>
                      <c:pt idx="4">
                        <c:v>272</c:v>
                      </c:pt>
                      <c:pt idx="5">
                        <c:v>135</c:v>
                      </c:pt>
                      <c:pt idx="6">
                        <c:v>50</c:v>
                      </c:pt>
                    </c:numCache>
                  </c:numRef>
                </c:val>
                <c:smooth val="0"/>
                <c:extLst>
                  <c:ext xmlns:c16="http://schemas.microsoft.com/office/drawing/2014/chart" uri="{C3380CC4-5D6E-409C-BE32-E72D297353CC}">
                    <c16:uniqueId val="{00000000-8B2A-4CA2-979E-8005F0ADD7D5}"/>
                  </c:ext>
                </c:extLst>
              </c15:ser>
            </c15:filteredLineSeries>
            <c15:filteredLineSeries>
              <c15:ser>
                <c:idx val="1"/>
                <c:order val="1"/>
                <c:tx>
                  <c:strRef>
                    <c:extLst>
                      <c:ext xmlns:c15="http://schemas.microsoft.com/office/drawing/2012/chart" uri="{02D57815-91ED-43cb-92C2-25804820EDAC}">
                        <c15:formulaRef>
                          <c15:sqref>'Tab 6 - Setup Moment and Metric'!$C$26:$C$27</c15:sqref>
                        </c15:formulaRef>
                      </c:ext>
                    </c:extLst>
                    <c:strCache>
                      <c:ptCount val="2"/>
                      <c:pt idx="0">
                        <c:v>User</c:v>
                      </c:pt>
                      <c:pt idx="1">
                        <c:v>Retained + Action NOT completed</c:v>
                      </c:pt>
                    </c:strCache>
                  </c:strRef>
                </c:tx>
                <c:spPr>
                  <a:ln w="28575" cap="rnd">
                    <a:solidFill>
                      <a:schemeClr val="accent2"/>
                    </a:solidFill>
                    <a:round/>
                  </a:ln>
                  <a:effectLst/>
                </c:spPr>
                <c:marker>
                  <c:symbol val="none"/>
                </c:marker>
                <c:cat>
                  <c:strRef>
                    <c:extLst>
                      <c:ext xmlns:c15="http://schemas.microsoft.com/office/drawing/2012/chart" uri="{02D57815-91ED-43cb-92C2-25804820EDAC}">
                        <c15:formulaRef>
                          <c15:sqref>'Tab 6 - Setup Moment and Metric'!$A$28:$A$34</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6 - Setup Moment and Metric'!$C$28:$C$34</c15:sqref>
                        </c15:formulaRef>
                      </c:ext>
                    </c:extLst>
                    <c:numCache>
                      <c:formatCode>General</c:formatCode>
                      <c:ptCount val="7"/>
                      <c:pt idx="0">
                        <c:v>200</c:v>
                      </c:pt>
                      <c:pt idx="1">
                        <c:v>373</c:v>
                      </c:pt>
                      <c:pt idx="2">
                        <c:v>388</c:v>
                      </c:pt>
                      <c:pt idx="3">
                        <c:v>372</c:v>
                      </c:pt>
                      <c:pt idx="4">
                        <c:v>441</c:v>
                      </c:pt>
                      <c:pt idx="5">
                        <c:v>484</c:v>
                      </c:pt>
                      <c:pt idx="6">
                        <c:v>590</c:v>
                      </c:pt>
                    </c:numCache>
                  </c:numRef>
                </c:val>
                <c:smooth val="0"/>
                <c:extLst>
                  <c:ext xmlns:c16="http://schemas.microsoft.com/office/drawing/2014/chart" uri="{C3380CC4-5D6E-409C-BE32-E72D297353CC}">
                    <c16:uniqueId val="{00000001-8B2A-4CA2-979E-8005F0ADD7D5}"/>
                  </c:ext>
                </c:extLst>
              </c15:ser>
            </c15:filteredLineSeries>
            <c15:filteredLineSeries>
              <c15:ser>
                <c:idx val="2"/>
                <c:order val="2"/>
                <c:tx>
                  <c:strRef>
                    <c:extLst>
                      <c:ext xmlns:c15="http://schemas.microsoft.com/office/drawing/2012/chart" uri="{02D57815-91ED-43cb-92C2-25804820EDAC}">
                        <c15:formulaRef>
                          <c15:sqref>'Tab 6 - Setup Moment and Metric'!$D$26:$D$27</c15:sqref>
                        </c15:formulaRef>
                      </c:ext>
                    </c:extLst>
                    <c:strCache>
                      <c:ptCount val="2"/>
                      <c:pt idx="0">
                        <c:v>User</c:v>
                      </c:pt>
                      <c:pt idx="1">
                        <c:v>Retained + Action completed</c:v>
                      </c:pt>
                    </c:strCache>
                  </c:strRef>
                </c:tx>
                <c:spPr>
                  <a:ln w="28575" cap="rnd">
                    <a:solidFill>
                      <a:schemeClr val="accent3"/>
                    </a:solidFill>
                    <a:round/>
                  </a:ln>
                  <a:effectLst/>
                </c:spPr>
                <c:marker>
                  <c:symbol val="none"/>
                </c:marker>
                <c:cat>
                  <c:strRef>
                    <c:extLst>
                      <c:ext xmlns:c15="http://schemas.microsoft.com/office/drawing/2012/chart" uri="{02D57815-91ED-43cb-92C2-25804820EDAC}">
                        <c15:formulaRef>
                          <c15:sqref>'Tab 6 - Setup Moment and Metric'!$A$28:$A$34</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6 - Setup Moment and Metric'!$D$28:$D$34</c15:sqref>
                        </c15:formulaRef>
                      </c:ext>
                    </c:extLst>
                    <c:numCache>
                      <c:formatCode>General</c:formatCode>
                      <c:ptCount val="7"/>
                      <c:pt idx="0">
                        <c:v>800</c:v>
                      </c:pt>
                      <c:pt idx="1">
                        <c:v>627</c:v>
                      </c:pt>
                      <c:pt idx="2">
                        <c:v>532</c:v>
                      </c:pt>
                      <c:pt idx="3">
                        <c:v>458</c:v>
                      </c:pt>
                      <c:pt idx="4">
                        <c:v>359</c:v>
                      </c:pt>
                      <c:pt idx="5">
                        <c:v>306</c:v>
                      </c:pt>
                      <c:pt idx="6">
                        <c:v>300</c:v>
                      </c:pt>
                    </c:numCache>
                  </c:numRef>
                </c:val>
                <c:smooth val="0"/>
                <c:extLst>
                  <c:ext xmlns:c16="http://schemas.microsoft.com/office/drawing/2014/chart" uri="{C3380CC4-5D6E-409C-BE32-E72D297353CC}">
                    <c16:uniqueId val="{00000002-8B2A-4CA2-979E-8005F0ADD7D5}"/>
                  </c:ext>
                </c:extLst>
              </c15:ser>
            </c15:filteredLineSeries>
            <c15:filteredLineSeries>
              <c15:ser>
                <c:idx val="3"/>
                <c:order val="3"/>
                <c:tx>
                  <c:strRef>
                    <c:extLst>
                      <c:ext xmlns:c15="http://schemas.microsoft.com/office/drawing/2012/chart" uri="{02D57815-91ED-43cb-92C2-25804820EDAC}">
                        <c15:formulaRef>
                          <c15:sqref>'Tab 6 - Setup Moment and Metric'!$E$26:$E$27</c15:sqref>
                        </c15:formulaRef>
                      </c:ext>
                    </c:extLst>
                    <c:strCache>
                      <c:ptCount val="2"/>
                      <c:pt idx="0">
                        <c:v>User</c:v>
                      </c:pt>
                      <c:pt idx="1">
                        <c:v>Total Users</c:v>
                      </c:pt>
                    </c:strCache>
                  </c:strRef>
                </c:tx>
                <c:spPr>
                  <a:ln w="28575" cap="rnd">
                    <a:solidFill>
                      <a:schemeClr val="accent4"/>
                    </a:solidFill>
                    <a:round/>
                  </a:ln>
                  <a:effectLst/>
                </c:spPr>
                <c:marker>
                  <c:symbol val="none"/>
                </c:marker>
                <c:cat>
                  <c:strRef>
                    <c:extLst>
                      <c:ext xmlns:c15="http://schemas.microsoft.com/office/drawing/2012/chart" uri="{02D57815-91ED-43cb-92C2-25804820EDAC}">
                        <c15:formulaRef>
                          <c15:sqref>'Tab 6 - Setup Moment and Metric'!$A$28:$A$34</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6 - Setup Moment and Metric'!$E$28:$E$34</c15:sqref>
                        </c15:formulaRef>
                      </c:ext>
                    </c:extLst>
                    <c:numCache>
                      <c:formatCode>#,##0</c:formatCode>
                      <c:ptCount val="7"/>
                      <c:pt idx="0">
                        <c:v>1404</c:v>
                      </c:pt>
                      <c:pt idx="1">
                        <c:v>1163</c:v>
                      </c:pt>
                      <c:pt idx="2">
                        <c:v>1008</c:v>
                      </c:pt>
                      <c:pt idx="3">
                        <c:v>882</c:v>
                      </c:pt>
                      <c:pt idx="4">
                        <c:v>713</c:v>
                      </c:pt>
                      <c:pt idx="5">
                        <c:v>619</c:v>
                      </c:pt>
                      <c:pt idx="6">
                        <c:v>640</c:v>
                      </c:pt>
                    </c:numCache>
                  </c:numRef>
                </c:val>
                <c:smooth val="0"/>
                <c:extLst>
                  <c:ext xmlns:c16="http://schemas.microsoft.com/office/drawing/2014/chart" uri="{C3380CC4-5D6E-409C-BE32-E72D297353CC}">
                    <c16:uniqueId val="{00000003-8B2A-4CA2-979E-8005F0ADD7D5}"/>
                  </c:ext>
                </c:extLst>
              </c15:ser>
            </c15:filteredLineSeries>
          </c:ext>
        </c:extLst>
      </c:lineChart>
      <c:catAx>
        <c:axId val="51156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66176"/>
        <c:crosses val="autoZero"/>
        <c:auto val="1"/>
        <c:lblAlgn val="ctr"/>
        <c:lblOffset val="100"/>
        <c:noMultiLvlLbl val="0"/>
      </c:catAx>
      <c:valAx>
        <c:axId val="511566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561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4"/>
          <c:tx>
            <c:strRef>
              <c:f>'Tab 6 - Setup Moment and Metric'!$F$38:$F$39</c:f>
              <c:strCache>
                <c:ptCount val="2"/>
                <c:pt idx="0">
                  <c:v>User</c:v>
                </c:pt>
                <c:pt idx="1">
                  <c:v>% Overlap</c:v>
                </c:pt>
              </c:strCache>
            </c:strRef>
          </c:tx>
          <c:spPr>
            <a:ln w="28575" cap="rnd">
              <a:solidFill>
                <a:schemeClr val="accent5"/>
              </a:solidFill>
              <a:round/>
            </a:ln>
            <a:effectLst/>
          </c:spPr>
          <c:marker>
            <c:symbol val="none"/>
          </c:marker>
          <c:cat>
            <c:strRef>
              <c:f>'Tab 6 - Setup Moment and Metric'!$A$40:$A$46</c:f>
              <c:strCache>
                <c:ptCount val="7"/>
                <c:pt idx="0">
                  <c:v>1+</c:v>
                </c:pt>
                <c:pt idx="1">
                  <c:v>2+</c:v>
                </c:pt>
                <c:pt idx="2">
                  <c:v>3+</c:v>
                </c:pt>
                <c:pt idx="3">
                  <c:v>4+</c:v>
                </c:pt>
                <c:pt idx="4">
                  <c:v>5+</c:v>
                </c:pt>
                <c:pt idx="5">
                  <c:v>6+</c:v>
                </c:pt>
                <c:pt idx="6">
                  <c:v>7+</c:v>
                </c:pt>
              </c:strCache>
            </c:strRef>
          </c:cat>
          <c:val>
            <c:numRef>
              <c:f>'Tab 6 - Setup Moment and Metric'!$F$40:$F$46</c:f>
              <c:numCache>
                <c:formatCode>0%</c:formatCode>
                <c:ptCount val="7"/>
                <c:pt idx="0">
                  <c:v>0.70120000000000005</c:v>
                </c:pt>
                <c:pt idx="1">
                  <c:v>0.67779999999999996</c:v>
                </c:pt>
                <c:pt idx="2">
                  <c:v>0.66239999999999999</c:v>
                </c:pt>
                <c:pt idx="3">
                  <c:v>0.64070000000000005</c:v>
                </c:pt>
                <c:pt idx="4">
                  <c:v>0.50560000000000005</c:v>
                </c:pt>
                <c:pt idx="5">
                  <c:v>0.3755</c:v>
                </c:pt>
                <c:pt idx="6">
                  <c:v>0.28589999999999999</c:v>
                </c:pt>
              </c:numCache>
            </c:numRef>
          </c:val>
          <c:smooth val="0"/>
          <c:extLst>
            <c:ext xmlns:c16="http://schemas.microsoft.com/office/drawing/2014/chart" uri="{C3380CC4-5D6E-409C-BE32-E72D297353CC}">
              <c16:uniqueId val="{00000004-70DB-4164-8FFD-89AAF9D2F04E}"/>
            </c:ext>
          </c:extLst>
        </c:ser>
        <c:dLbls>
          <c:showLegendKey val="0"/>
          <c:showVal val="0"/>
          <c:showCatName val="0"/>
          <c:showSerName val="0"/>
          <c:showPercent val="0"/>
          <c:showBubbleSize val="0"/>
        </c:dLbls>
        <c:smooth val="0"/>
        <c:axId val="511614176"/>
        <c:axId val="511619456"/>
        <c:extLst>
          <c:ext xmlns:c15="http://schemas.microsoft.com/office/drawing/2012/chart" uri="{02D57815-91ED-43cb-92C2-25804820EDAC}">
            <c15:filteredLineSeries>
              <c15:ser>
                <c:idx val="0"/>
                <c:order val="0"/>
                <c:tx>
                  <c:strRef>
                    <c:extLst>
                      <c:ext uri="{02D57815-91ED-43cb-92C2-25804820EDAC}">
                        <c15:formulaRef>
                          <c15:sqref>'Tab 6 - Setup Moment and Metric'!$B$38:$B$39</c15:sqref>
                        </c15:formulaRef>
                      </c:ext>
                    </c:extLst>
                    <c:strCache>
                      <c:ptCount val="2"/>
                      <c:pt idx="0">
                        <c:v>User</c:v>
                      </c:pt>
                      <c:pt idx="1">
                        <c:v>Action Completed</c:v>
                      </c:pt>
                    </c:strCache>
                  </c:strRef>
                </c:tx>
                <c:spPr>
                  <a:ln w="28575" cap="rnd">
                    <a:solidFill>
                      <a:schemeClr val="accent1"/>
                    </a:solidFill>
                    <a:round/>
                  </a:ln>
                  <a:effectLst/>
                </c:spPr>
                <c:marker>
                  <c:symbol val="none"/>
                </c:marker>
                <c:cat>
                  <c:strRef>
                    <c:extLst>
                      <c:ext uri="{02D57815-91ED-43cb-92C2-25804820EDAC}">
                        <c15:formulaRef>
                          <c15:sqref>'Tab 6 - Setup Moment and Metric'!$A$40:$A$46</c15:sqref>
                        </c15:formulaRef>
                      </c:ext>
                    </c:extLst>
                    <c:strCache>
                      <c:ptCount val="7"/>
                      <c:pt idx="0">
                        <c:v>1+</c:v>
                      </c:pt>
                      <c:pt idx="1">
                        <c:v>2+</c:v>
                      </c:pt>
                      <c:pt idx="2">
                        <c:v>3+</c:v>
                      </c:pt>
                      <c:pt idx="3">
                        <c:v>4+</c:v>
                      </c:pt>
                      <c:pt idx="4">
                        <c:v>5+</c:v>
                      </c:pt>
                      <c:pt idx="5">
                        <c:v>6+</c:v>
                      </c:pt>
                      <c:pt idx="6">
                        <c:v>7+</c:v>
                      </c:pt>
                    </c:strCache>
                  </c:strRef>
                </c:cat>
                <c:val>
                  <c:numRef>
                    <c:extLst>
                      <c:ext uri="{02D57815-91ED-43cb-92C2-25804820EDAC}">
                        <c15:formulaRef>
                          <c15:sqref>'Tab 6 - Setup Moment and Metric'!$B$40:$B$46</c15:sqref>
                        </c15:formulaRef>
                      </c:ext>
                    </c:extLst>
                    <c:numCache>
                      <c:formatCode>General</c:formatCode>
                      <c:ptCount val="7"/>
                      <c:pt idx="0">
                        <c:v>304</c:v>
                      </c:pt>
                      <c:pt idx="1">
                        <c:v>270</c:v>
                      </c:pt>
                      <c:pt idx="2">
                        <c:v>252</c:v>
                      </c:pt>
                      <c:pt idx="3">
                        <c:v>210</c:v>
                      </c:pt>
                      <c:pt idx="4">
                        <c:v>190</c:v>
                      </c:pt>
                      <c:pt idx="5">
                        <c:v>165</c:v>
                      </c:pt>
                      <c:pt idx="6">
                        <c:v>130</c:v>
                      </c:pt>
                    </c:numCache>
                  </c:numRef>
                </c:val>
                <c:smooth val="0"/>
                <c:extLst>
                  <c:ext xmlns:c16="http://schemas.microsoft.com/office/drawing/2014/chart" uri="{C3380CC4-5D6E-409C-BE32-E72D297353CC}">
                    <c16:uniqueId val="{00000000-70DB-4164-8FFD-89AAF9D2F04E}"/>
                  </c:ext>
                </c:extLst>
              </c15:ser>
            </c15:filteredLineSeries>
            <c15:filteredLineSeries>
              <c15:ser>
                <c:idx val="1"/>
                <c:order val="1"/>
                <c:tx>
                  <c:strRef>
                    <c:extLst>
                      <c:ext xmlns:c15="http://schemas.microsoft.com/office/drawing/2012/chart" uri="{02D57815-91ED-43cb-92C2-25804820EDAC}">
                        <c15:formulaRef>
                          <c15:sqref>'Tab 6 - Setup Moment and Metric'!$C$38:$C$39</c15:sqref>
                        </c15:formulaRef>
                      </c:ext>
                    </c:extLst>
                    <c:strCache>
                      <c:ptCount val="2"/>
                      <c:pt idx="0">
                        <c:v>User</c:v>
                      </c:pt>
                      <c:pt idx="1">
                        <c:v>Retained + Action NOT completed</c:v>
                      </c:pt>
                    </c:strCache>
                  </c:strRef>
                </c:tx>
                <c:spPr>
                  <a:ln w="28575" cap="rnd">
                    <a:solidFill>
                      <a:schemeClr val="accent2"/>
                    </a:solidFill>
                    <a:round/>
                  </a:ln>
                  <a:effectLst/>
                </c:spPr>
                <c:marker>
                  <c:symbol val="none"/>
                </c:marker>
                <c:cat>
                  <c:strRef>
                    <c:extLst>
                      <c:ext xmlns:c15="http://schemas.microsoft.com/office/drawing/2012/chart" uri="{02D57815-91ED-43cb-92C2-25804820EDAC}">
                        <c15:formulaRef>
                          <c15:sqref>'Tab 6 - Setup Moment and Metric'!$A$40:$A$46</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6 - Setup Moment and Metric'!$C$40:$C$46</c15:sqref>
                        </c15:formulaRef>
                      </c:ext>
                    </c:extLst>
                    <c:numCache>
                      <c:formatCode>General</c:formatCode>
                      <c:ptCount val="7"/>
                      <c:pt idx="0">
                        <c:v>342</c:v>
                      </c:pt>
                      <c:pt idx="1">
                        <c:v>360</c:v>
                      </c:pt>
                      <c:pt idx="2">
                        <c:v>370</c:v>
                      </c:pt>
                      <c:pt idx="3">
                        <c:v>380</c:v>
                      </c:pt>
                      <c:pt idx="4">
                        <c:v>520</c:v>
                      </c:pt>
                      <c:pt idx="5">
                        <c:v>650</c:v>
                      </c:pt>
                      <c:pt idx="6">
                        <c:v>874</c:v>
                      </c:pt>
                    </c:numCache>
                  </c:numRef>
                </c:val>
                <c:smooth val="0"/>
                <c:extLst>
                  <c:ext xmlns:c16="http://schemas.microsoft.com/office/drawing/2014/chart" uri="{C3380CC4-5D6E-409C-BE32-E72D297353CC}">
                    <c16:uniqueId val="{00000001-70DB-4164-8FFD-89AAF9D2F04E}"/>
                  </c:ext>
                </c:extLst>
              </c15:ser>
            </c15:filteredLineSeries>
            <c15:filteredLineSeries>
              <c15:ser>
                <c:idx val="2"/>
                <c:order val="2"/>
                <c:tx>
                  <c:strRef>
                    <c:extLst>
                      <c:ext xmlns:c15="http://schemas.microsoft.com/office/drawing/2012/chart" uri="{02D57815-91ED-43cb-92C2-25804820EDAC}">
                        <c15:formulaRef>
                          <c15:sqref>'Tab 6 - Setup Moment and Metric'!$D$38:$D$39</c15:sqref>
                        </c15:formulaRef>
                      </c:ext>
                    </c:extLst>
                    <c:strCache>
                      <c:ptCount val="2"/>
                      <c:pt idx="0">
                        <c:v>User</c:v>
                      </c:pt>
                      <c:pt idx="1">
                        <c:v>Retained + Action completed</c:v>
                      </c:pt>
                    </c:strCache>
                  </c:strRef>
                </c:tx>
                <c:spPr>
                  <a:ln w="28575" cap="rnd">
                    <a:solidFill>
                      <a:schemeClr val="accent3"/>
                    </a:solidFill>
                    <a:round/>
                  </a:ln>
                  <a:effectLst/>
                </c:spPr>
                <c:marker>
                  <c:symbol val="none"/>
                </c:marker>
                <c:cat>
                  <c:strRef>
                    <c:extLst>
                      <c:ext xmlns:c15="http://schemas.microsoft.com/office/drawing/2012/chart" uri="{02D57815-91ED-43cb-92C2-25804820EDAC}">
                        <c15:formulaRef>
                          <c15:sqref>'Tab 6 - Setup Moment and Metric'!$A$40:$A$46</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6 - Setup Moment and Metric'!$D$40:$D$46</c15:sqref>
                        </c15:formulaRef>
                      </c:ext>
                    </c:extLst>
                    <c:numCache>
                      <c:formatCode>General</c:formatCode>
                      <c:ptCount val="7"/>
                      <c:pt idx="0">
                        <c:v>453</c:v>
                      </c:pt>
                      <c:pt idx="1">
                        <c:v>427</c:v>
                      </c:pt>
                      <c:pt idx="2">
                        <c:v>412</c:v>
                      </c:pt>
                      <c:pt idx="3">
                        <c:v>378</c:v>
                      </c:pt>
                      <c:pt idx="4">
                        <c:v>359</c:v>
                      </c:pt>
                      <c:pt idx="5">
                        <c:v>306</c:v>
                      </c:pt>
                      <c:pt idx="6">
                        <c:v>287</c:v>
                      </c:pt>
                    </c:numCache>
                  </c:numRef>
                </c:val>
                <c:smooth val="0"/>
                <c:extLst>
                  <c:ext xmlns:c16="http://schemas.microsoft.com/office/drawing/2014/chart" uri="{C3380CC4-5D6E-409C-BE32-E72D297353CC}">
                    <c16:uniqueId val="{00000002-70DB-4164-8FFD-89AAF9D2F04E}"/>
                  </c:ext>
                </c:extLst>
              </c15:ser>
            </c15:filteredLineSeries>
            <c15:filteredLineSeries>
              <c15:ser>
                <c:idx val="3"/>
                <c:order val="3"/>
                <c:tx>
                  <c:strRef>
                    <c:extLst>
                      <c:ext xmlns:c15="http://schemas.microsoft.com/office/drawing/2012/chart" uri="{02D57815-91ED-43cb-92C2-25804820EDAC}">
                        <c15:formulaRef>
                          <c15:sqref>'Tab 6 - Setup Moment and Metric'!$E$38:$E$39</c15:sqref>
                        </c15:formulaRef>
                      </c:ext>
                    </c:extLst>
                    <c:strCache>
                      <c:ptCount val="2"/>
                      <c:pt idx="0">
                        <c:v>User</c:v>
                      </c:pt>
                      <c:pt idx="1">
                        <c:v>Total Users</c:v>
                      </c:pt>
                    </c:strCache>
                  </c:strRef>
                </c:tx>
                <c:spPr>
                  <a:ln w="28575" cap="rnd">
                    <a:solidFill>
                      <a:schemeClr val="accent4"/>
                    </a:solidFill>
                    <a:round/>
                  </a:ln>
                  <a:effectLst/>
                </c:spPr>
                <c:marker>
                  <c:symbol val="none"/>
                </c:marker>
                <c:cat>
                  <c:strRef>
                    <c:extLst>
                      <c:ext xmlns:c15="http://schemas.microsoft.com/office/drawing/2012/chart" uri="{02D57815-91ED-43cb-92C2-25804820EDAC}">
                        <c15:formulaRef>
                          <c15:sqref>'Tab 6 - Setup Moment and Metric'!$A$40:$A$46</c15:sqref>
                        </c15:formulaRef>
                      </c:ext>
                    </c:extLst>
                    <c:strCache>
                      <c:ptCount val="7"/>
                      <c:pt idx="0">
                        <c:v>1+</c:v>
                      </c:pt>
                      <c:pt idx="1">
                        <c:v>2+</c:v>
                      </c:pt>
                      <c:pt idx="2">
                        <c:v>3+</c:v>
                      </c:pt>
                      <c:pt idx="3">
                        <c:v>4+</c:v>
                      </c:pt>
                      <c:pt idx="4">
                        <c:v>5+</c:v>
                      </c:pt>
                      <c:pt idx="5">
                        <c:v>6+</c:v>
                      </c:pt>
                      <c:pt idx="6">
                        <c:v>7+</c:v>
                      </c:pt>
                    </c:strCache>
                  </c:strRef>
                </c:cat>
                <c:val>
                  <c:numRef>
                    <c:extLst>
                      <c:ext xmlns:c15="http://schemas.microsoft.com/office/drawing/2012/chart" uri="{02D57815-91ED-43cb-92C2-25804820EDAC}">
                        <c15:formulaRef>
                          <c15:sqref>'Tab 6 - Setup Moment and Metric'!$E$40:$E$46</c15:sqref>
                        </c15:formulaRef>
                      </c:ext>
                    </c:extLst>
                    <c:numCache>
                      <c:formatCode>#,##0</c:formatCode>
                      <c:ptCount val="7"/>
                      <c:pt idx="0">
                        <c:v>646</c:v>
                      </c:pt>
                      <c:pt idx="1">
                        <c:v>630</c:v>
                      </c:pt>
                      <c:pt idx="2">
                        <c:v>622</c:v>
                      </c:pt>
                      <c:pt idx="3">
                        <c:v>590</c:v>
                      </c:pt>
                      <c:pt idx="4">
                        <c:v>710</c:v>
                      </c:pt>
                      <c:pt idx="5">
                        <c:v>815</c:v>
                      </c:pt>
                      <c:pt idx="6">
                        <c:v>1004</c:v>
                      </c:pt>
                    </c:numCache>
                  </c:numRef>
                </c:val>
                <c:smooth val="0"/>
                <c:extLst>
                  <c:ext xmlns:c16="http://schemas.microsoft.com/office/drawing/2014/chart" uri="{C3380CC4-5D6E-409C-BE32-E72D297353CC}">
                    <c16:uniqueId val="{00000003-70DB-4164-8FFD-89AAF9D2F04E}"/>
                  </c:ext>
                </c:extLst>
              </c15:ser>
            </c15:filteredLineSeries>
          </c:ext>
        </c:extLst>
      </c:lineChart>
      <c:catAx>
        <c:axId val="51161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619456"/>
        <c:crosses val="autoZero"/>
        <c:auto val="1"/>
        <c:lblAlgn val="ctr"/>
        <c:lblOffset val="100"/>
        <c:noMultiLvlLbl val="0"/>
      </c:catAx>
      <c:valAx>
        <c:axId val="511619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614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849924</xdr:colOff>
      <xdr:row>37</xdr:row>
      <xdr:rowOff>20516</xdr:rowOff>
    </xdr:from>
    <xdr:to>
      <xdr:col>11</xdr:col>
      <xdr:colOff>109905</xdr:colOff>
      <xdr:row>47</xdr:row>
      <xdr:rowOff>117231</xdr:rowOff>
    </xdr:to>
    <xdr:graphicFrame macro="">
      <xdr:nvGraphicFramePr>
        <xdr:cNvPr id="12" name="Chart 11">
          <a:extLst>
            <a:ext uri="{FF2B5EF4-FFF2-40B4-BE49-F238E27FC236}">
              <a16:creationId xmlns:a16="http://schemas.microsoft.com/office/drawing/2014/main" id="{65D2B837-BF1B-E21F-7883-D67D01895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7327</xdr:colOff>
      <xdr:row>25</xdr:row>
      <xdr:rowOff>65943</xdr:rowOff>
    </xdr:from>
    <xdr:to>
      <xdr:col>11</xdr:col>
      <xdr:colOff>0</xdr:colOff>
      <xdr:row>35</xdr:row>
      <xdr:rowOff>95250</xdr:rowOff>
    </xdr:to>
    <xdr:graphicFrame macro="">
      <xdr:nvGraphicFramePr>
        <xdr:cNvPr id="13" name="Chart 12">
          <a:extLst>
            <a:ext uri="{FF2B5EF4-FFF2-40B4-BE49-F238E27FC236}">
              <a16:creationId xmlns:a16="http://schemas.microsoft.com/office/drawing/2014/main" id="{91AC6B8D-E5F5-2F73-90BA-9AC9D6B60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7327</xdr:colOff>
      <xdr:row>13</xdr:row>
      <xdr:rowOff>35170</xdr:rowOff>
    </xdr:from>
    <xdr:to>
      <xdr:col>10</xdr:col>
      <xdr:colOff>827943</xdr:colOff>
      <xdr:row>23</xdr:row>
      <xdr:rowOff>124558</xdr:rowOff>
    </xdr:to>
    <xdr:graphicFrame macro="">
      <xdr:nvGraphicFramePr>
        <xdr:cNvPr id="17" name="Chart 16">
          <a:extLst>
            <a:ext uri="{FF2B5EF4-FFF2-40B4-BE49-F238E27FC236}">
              <a16:creationId xmlns:a16="http://schemas.microsoft.com/office/drawing/2014/main" id="{658E4FE7-723D-DFFA-F53C-FF85D1229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38100</xdr:colOff>
      <xdr:row>12</xdr:row>
      <xdr:rowOff>30480</xdr:rowOff>
    </xdr:from>
    <xdr:to>
      <xdr:col>10</xdr:col>
      <xdr:colOff>685800</xdr:colOff>
      <xdr:row>22</xdr:row>
      <xdr:rowOff>144780</xdr:rowOff>
    </xdr:to>
    <xdr:graphicFrame macro="">
      <xdr:nvGraphicFramePr>
        <xdr:cNvPr id="2" name="Chart 1">
          <a:extLst>
            <a:ext uri="{FF2B5EF4-FFF2-40B4-BE49-F238E27FC236}">
              <a16:creationId xmlns:a16="http://schemas.microsoft.com/office/drawing/2014/main" id="{2CF0AA71-D8A2-52BC-758B-1C50CC8D76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xdr:colOff>
      <xdr:row>23</xdr:row>
      <xdr:rowOff>182880</xdr:rowOff>
    </xdr:from>
    <xdr:to>
      <xdr:col>10</xdr:col>
      <xdr:colOff>518160</xdr:colOff>
      <xdr:row>34</xdr:row>
      <xdr:rowOff>137160</xdr:rowOff>
    </xdr:to>
    <xdr:graphicFrame macro="">
      <xdr:nvGraphicFramePr>
        <xdr:cNvPr id="3" name="Chart 2">
          <a:extLst>
            <a:ext uri="{FF2B5EF4-FFF2-40B4-BE49-F238E27FC236}">
              <a16:creationId xmlns:a16="http://schemas.microsoft.com/office/drawing/2014/main" id="{25B1BF8A-CAE5-E9B1-DDDE-6F39B1824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xdr:colOff>
      <xdr:row>36</xdr:row>
      <xdr:rowOff>38100</xdr:rowOff>
    </xdr:from>
    <xdr:to>
      <xdr:col>11</xdr:col>
      <xdr:colOff>30480</xdr:colOff>
      <xdr:row>47</xdr:row>
      <xdr:rowOff>144780</xdr:rowOff>
    </xdr:to>
    <xdr:graphicFrame macro="">
      <xdr:nvGraphicFramePr>
        <xdr:cNvPr id="4" name="Chart 3">
          <a:extLst>
            <a:ext uri="{FF2B5EF4-FFF2-40B4-BE49-F238E27FC236}">
              <a16:creationId xmlns:a16="http://schemas.microsoft.com/office/drawing/2014/main" id="{4B631F6F-54C9-6CBF-37A2-B4F51689B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15240</xdr:colOff>
      <xdr:row>11</xdr:row>
      <xdr:rowOff>38100</xdr:rowOff>
    </xdr:from>
    <xdr:to>
      <xdr:col>11</xdr:col>
      <xdr:colOff>0</xdr:colOff>
      <xdr:row>21</xdr:row>
      <xdr:rowOff>137160</xdr:rowOff>
    </xdr:to>
    <xdr:graphicFrame macro="">
      <xdr:nvGraphicFramePr>
        <xdr:cNvPr id="2" name="Chart 1">
          <a:extLst>
            <a:ext uri="{FF2B5EF4-FFF2-40B4-BE49-F238E27FC236}">
              <a16:creationId xmlns:a16="http://schemas.microsoft.com/office/drawing/2014/main" id="{C13E9EB8-16B3-DC00-46BA-00C4091E4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845820</xdr:colOff>
      <xdr:row>22</xdr:row>
      <xdr:rowOff>175260</xdr:rowOff>
    </xdr:from>
    <xdr:to>
      <xdr:col>11</xdr:col>
      <xdr:colOff>38100</xdr:colOff>
      <xdr:row>33</xdr:row>
      <xdr:rowOff>121920</xdr:rowOff>
    </xdr:to>
    <xdr:graphicFrame macro="">
      <xdr:nvGraphicFramePr>
        <xdr:cNvPr id="3" name="Chart 2">
          <a:extLst>
            <a:ext uri="{FF2B5EF4-FFF2-40B4-BE49-F238E27FC236}">
              <a16:creationId xmlns:a16="http://schemas.microsoft.com/office/drawing/2014/main" id="{B561728E-A758-B8C0-F696-45897F512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xdr:colOff>
      <xdr:row>34</xdr:row>
      <xdr:rowOff>160020</xdr:rowOff>
    </xdr:from>
    <xdr:to>
      <xdr:col>11</xdr:col>
      <xdr:colOff>76200</xdr:colOff>
      <xdr:row>45</xdr:row>
      <xdr:rowOff>38100</xdr:rowOff>
    </xdr:to>
    <xdr:graphicFrame macro="">
      <xdr:nvGraphicFramePr>
        <xdr:cNvPr id="4" name="Chart 3">
          <a:extLst>
            <a:ext uri="{FF2B5EF4-FFF2-40B4-BE49-F238E27FC236}">
              <a16:creationId xmlns:a16="http://schemas.microsoft.com/office/drawing/2014/main" id="{F23FA2E4-8802-5450-AB53-17E58181F9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41:D49" headerRowCount="0" headerRowCellStyle="Percent" dataCellStyle="Percent" totalsRowCellStyle="Percent">
  <tableColumns count="1">
    <tableColumn id="1" xr3:uid="{00000000-0010-0000-0000-000001000000}" name="Column1" dataCellStyle="Percent"/>
  </tableColumns>
  <tableStyleInfo name="Tab 8 - Segment Analysi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F41:F49" headerRowCount="0" headerRowCellStyle="Percent" dataCellStyle="Percent" totalsRowCellStyle="Percent">
  <tableColumns count="1">
    <tableColumn id="1" xr3:uid="{00000000-0010-0000-0100-000001000000}" name="Column1" dataCellStyle="Percent"/>
  </tableColumns>
  <tableStyleInfo name="Tab 8 - Segment Analysi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H41:H49" headerRowCount="0">
  <tableColumns count="1">
    <tableColumn id="1" xr3:uid="{00000000-0010-0000-0200-000001000000}" name="Column1"/>
  </tableColumns>
  <tableStyleInfo name="Tab 8 - Segment Analysi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I41:I49" headerRowCount="0" headerRowCellStyle="Percent" dataCellStyle="Percent" totalsRowCellStyle="Percent">
  <tableColumns count="1">
    <tableColumn id="1" xr3:uid="{00000000-0010-0000-0300-000001000000}" name="Column1" dataCellStyle="Percent"/>
  </tableColumns>
  <tableStyleInfo name="Tab 8 - Segment Analysi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D63:D70" headerRowCount="0">
  <tableColumns count="1">
    <tableColumn id="1" xr3:uid="{00000000-0010-0000-0400-000001000000}" name="Column1"/>
  </tableColumns>
  <tableStyleInfo name="Tab 8 - Segment Analysi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F63:F70" headerRowCount="0">
  <tableColumns count="1">
    <tableColumn id="1" xr3:uid="{00000000-0010-0000-0500-000001000000}" name="Column1"/>
  </tableColumns>
  <tableStyleInfo name="Tab 8 - Segment Analysi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H63:H70" headerRowCount="0">
  <tableColumns count="1">
    <tableColumn id="1" xr3:uid="{00000000-0010-0000-0600-000001000000}" name="Column1"/>
  </tableColumns>
  <tableStyleInfo name="Tab 8 - Segment Analysi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I63:I70" headerRowCount="0" headerRowCellStyle="Percent" dataCellStyle="Percent" totalsRowCellStyle="Percent">
  <tableColumns count="1">
    <tableColumn id="1" xr3:uid="{00000000-0010-0000-0700-000001000000}" name="Column1" dataCellStyle="Percent"/>
  </tableColumns>
  <tableStyleInfo name="Tab 8 - Segment Analysi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D84:D89" headerRowCount="0">
  <tableColumns count="1">
    <tableColumn id="1" xr3:uid="{00000000-0010-0000-0800-000001000000}" name="Column1"/>
  </tableColumns>
  <tableStyleInfo name="Tab 8 - Segment Analysi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F84:F89" headerRowCount="0">
  <tableColumns count="1">
    <tableColumn id="1" xr3:uid="{00000000-0010-0000-0900-000001000000}" name="Column1"/>
  </tableColumns>
  <tableStyleInfo name="Tab 8 - Segment Analysi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H84:H89" headerRowCount="0">
  <tableColumns count="1">
    <tableColumn id="1" xr3:uid="{00000000-0010-0000-0A00-000001000000}" name="Column1"/>
  </tableColumns>
  <tableStyleInfo name="Tab 8 - Segment Analysi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I84:I89" headerRowCount="0">
  <tableColumns count="1">
    <tableColumn id="1" xr3:uid="{00000000-0010-0000-0B00-000001000000}" name="Column1"/>
  </tableColumns>
  <tableStyleInfo name="Tab 8 - Segment Analysis-style 1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4"/>
  <sheetViews>
    <sheetView showGridLines="0" topLeftCell="A14" workbookViewId="0">
      <selection sqref="A1:C1"/>
    </sheetView>
  </sheetViews>
  <sheetFormatPr defaultColWidth="12.6640625" defaultRowHeight="15.75" customHeight="1"/>
  <cols>
    <col min="1" max="2" width="10.88671875" customWidth="1"/>
    <col min="3" max="3" width="42.88671875" customWidth="1"/>
  </cols>
  <sheetData>
    <row r="1" spans="1:3" ht="39">
      <c r="A1" s="168" t="s">
        <v>0</v>
      </c>
      <c r="B1" s="158"/>
      <c r="C1" s="159"/>
    </row>
    <row r="2" spans="1:3" ht="13.2">
      <c r="A2" s="160" t="s">
        <v>1</v>
      </c>
      <c r="B2" s="161"/>
      <c r="C2" s="162"/>
    </row>
    <row r="3" spans="1:3" ht="30.75" customHeight="1">
      <c r="A3" s="163"/>
      <c r="B3" s="164"/>
      <c r="C3" s="165"/>
    </row>
    <row r="4" spans="1:3" ht="30.75" customHeight="1">
      <c r="A4" s="166" t="str">
        <f>HYPERLINK("https://app.productboard.com/register","Step 1: Complete Tabs 1 - 2 in order by signing up for the free trial of productboard: https://app.productboard.com/register. 
")</f>
        <v xml:space="preserve">Step 1: Complete Tabs 1 - 2 in order by signing up for the free trial of productboard: https://app.productboard.com/register. 
</v>
      </c>
      <c r="B4" s="158"/>
      <c r="C4" s="159"/>
    </row>
    <row r="5" spans="1:3" ht="54.75" customHeight="1">
      <c r="A5" s="167" t="s">
        <v>2</v>
      </c>
      <c r="B5" s="164"/>
      <c r="C5" s="165"/>
    </row>
    <row r="6" spans="1:3" ht="99.75" customHeight="1">
      <c r="A6" s="167" t="s">
        <v>3</v>
      </c>
      <c r="B6" s="164"/>
      <c r="C6" s="165"/>
    </row>
    <row r="7" spans="1:3" ht="45.75" customHeight="1">
      <c r="A7" s="167" t="s">
        <v>4</v>
      </c>
      <c r="B7" s="164"/>
      <c r="C7" s="165"/>
    </row>
    <row r="8" spans="1:3" ht="56.25" customHeight="1">
      <c r="A8" s="167" t="s">
        <v>5</v>
      </c>
      <c r="B8" s="164"/>
      <c r="C8" s="165"/>
    </row>
    <row r="9" spans="1:3" ht="13.2">
      <c r="A9" s="160" t="s">
        <v>6</v>
      </c>
      <c r="B9" s="158"/>
      <c r="C9" s="159"/>
    </row>
    <row r="10" spans="1:3" ht="13.2">
      <c r="A10" s="157" t="s">
        <v>7</v>
      </c>
      <c r="B10" s="158"/>
      <c r="C10" s="159"/>
    </row>
    <row r="11" spans="1:3" ht="13.2">
      <c r="A11" s="1"/>
      <c r="B11" s="2"/>
      <c r="C11" s="3"/>
    </row>
    <row r="12" spans="1:3" ht="13.2">
      <c r="A12" s="4" t="s">
        <v>8</v>
      </c>
      <c r="B12" s="5" t="s">
        <v>9</v>
      </c>
      <c r="C12" s="4" t="s">
        <v>10</v>
      </c>
    </row>
    <row r="13" spans="1:3" ht="13.2">
      <c r="A13" s="6"/>
      <c r="B13" s="7"/>
      <c r="C13" s="4" t="s">
        <v>11</v>
      </c>
    </row>
    <row r="14" spans="1:3" ht="13.2">
      <c r="A14" s="8">
        <v>1</v>
      </c>
      <c r="B14" s="9" t="b">
        <v>1</v>
      </c>
      <c r="C14" s="10" t="s">
        <v>12</v>
      </c>
    </row>
    <row r="15" spans="1:3" ht="13.2">
      <c r="A15" s="8">
        <v>2</v>
      </c>
      <c r="B15" s="9" t="b">
        <v>1</v>
      </c>
      <c r="C15" s="10" t="s">
        <v>13</v>
      </c>
    </row>
    <row r="16" spans="1:3" ht="13.2">
      <c r="A16" s="6"/>
      <c r="B16" s="6"/>
      <c r="C16" s="4" t="s">
        <v>14</v>
      </c>
    </row>
    <row r="17" spans="1:3" ht="13.2">
      <c r="A17" s="11">
        <v>3</v>
      </c>
      <c r="B17" s="9" t="b">
        <v>1</v>
      </c>
      <c r="C17" s="10" t="s">
        <v>15</v>
      </c>
    </row>
    <row r="18" spans="1:3" ht="13.2">
      <c r="A18" s="12"/>
      <c r="B18" s="6"/>
      <c r="C18" s="4" t="s">
        <v>16</v>
      </c>
    </row>
    <row r="19" spans="1:3" ht="13.2">
      <c r="A19" s="11">
        <v>4</v>
      </c>
      <c r="B19" s="9" t="b">
        <v>1</v>
      </c>
      <c r="C19" s="10" t="s">
        <v>17</v>
      </c>
    </row>
    <row r="20" spans="1:3" ht="13.2">
      <c r="A20" s="11">
        <v>5</v>
      </c>
      <c r="B20" s="9" t="b">
        <v>1</v>
      </c>
      <c r="C20" s="10" t="s">
        <v>18</v>
      </c>
    </row>
    <row r="21" spans="1:3" ht="13.2">
      <c r="A21" s="11">
        <v>6</v>
      </c>
      <c r="B21" s="9" t="b">
        <v>1</v>
      </c>
      <c r="C21" s="10" t="s">
        <v>19</v>
      </c>
    </row>
    <row r="22" spans="1:3" ht="13.2">
      <c r="A22" s="11">
        <v>7</v>
      </c>
      <c r="B22" s="9" t="b">
        <v>1</v>
      </c>
      <c r="C22" s="10" t="s">
        <v>20</v>
      </c>
    </row>
    <row r="23" spans="1:3" ht="13.2">
      <c r="A23" s="12"/>
      <c r="B23" s="6"/>
      <c r="C23" s="4" t="s">
        <v>21</v>
      </c>
    </row>
    <row r="24" spans="1:3" ht="13.8">
      <c r="A24" s="11">
        <v>8</v>
      </c>
      <c r="B24" s="9" t="b">
        <v>1</v>
      </c>
      <c r="C24" s="13" t="s">
        <v>22</v>
      </c>
    </row>
  </sheetData>
  <mergeCells count="9">
    <mergeCell ref="A10:C10"/>
    <mergeCell ref="A2:C3"/>
    <mergeCell ref="A4:C4"/>
    <mergeCell ref="A5:C5"/>
    <mergeCell ref="A1:C1"/>
    <mergeCell ref="A8:C8"/>
    <mergeCell ref="A6:C6"/>
    <mergeCell ref="A9:C9"/>
    <mergeCell ref="A7:C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33"/>
  <sheetViews>
    <sheetView showGridLines="0" topLeftCell="R23" workbookViewId="0">
      <selection sqref="A1:W2"/>
    </sheetView>
  </sheetViews>
  <sheetFormatPr defaultColWidth="12.6640625" defaultRowHeight="15.75" customHeight="1"/>
  <cols>
    <col min="12" max="12" width="25.33203125" customWidth="1"/>
    <col min="13" max="13" width="25.109375" customWidth="1"/>
    <col min="14" max="15" width="25.44140625" customWidth="1"/>
    <col min="16" max="16" width="25.21875" customWidth="1"/>
    <col min="17" max="17" width="25" customWidth="1"/>
    <col min="18" max="18" width="25.33203125" customWidth="1"/>
    <col min="19" max="19" width="25.6640625" customWidth="1"/>
    <col min="20" max="20" width="25.44140625" customWidth="1"/>
    <col min="21" max="21" width="28.109375" customWidth="1"/>
    <col min="22" max="22" width="33.6640625" customWidth="1"/>
    <col min="23" max="23" width="47.109375" customWidth="1"/>
  </cols>
  <sheetData>
    <row r="1" spans="1:23" ht="13.2">
      <c r="A1" s="180" t="s">
        <v>12</v>
      </c>
      <c r="B1" s="161"/>
      <c r="C1" s="161"/>
      <c r="D1" s="161"/>
      <c r="E1" s="161"/>
      <c r="F1" s="161"/>
      <c r="G1" s="161"/>
      <c r="H1" s="161"/>
      <c r="I1" s="161"/>
      <c r="J1" s="161"/>
      <c r="K1" s="161"/>
      <c r="L1" s="161"/>
      <c r="M1" s="161"/>
      <c r="N1" s="161"/>
      <c r="O1" s="161"/>
      <c r="P1" s="161"/>
      <c r="Q1" s="161"/>
      <c r="R1" s="161"/>
      <c r="S1" s="161"/>
      <c r="T1" s="161"/>
      <c r="U1" s="161"/>
      <c r="V1" s="161"/>
      <c r="W1" s="162"/>
    </row>
    <row r="2" spans="1:23" ht="13.2">
      <c r="A2" s="163"/>
      <c r="B2" s="164"/>
      <c r="C2" s="164"/>
      <c r="D2" s="164"/>
      <c r="E2" s="164"/>
      <c r="F2" s="164"/>
      <c r="G2" s="164"/>
      <c r="H2" s="164"/>
      <c r="I2" s="164"/>
      <c r="J2" s="164"/>
      <c r="K2" s="164"/>
      <c r="L2" s="164"/>
      <c r="M2" s="164"/>
      <c r="N2" s="164"/>
      <c r="O2" s="164"/>
      <c r="P2" s="164"/>
      <c r="Q2" s="164"/>
      <c r="R2" s="164"/>
      <c r="S2" s="164"/>
      <c r="T2" s="164"/>
      <c r="U2" s="164"/>
      <c r="V2" s="164"/>
      <c r="W2" s="165"/>
    </row>
    <row r="3" spans="1:23" ht="13.2">
      <c r="A3" s="178" t="s">
        <v>23</v>
      </c>
      <c r="B3" s="161"/>
      <c r="C3" s="161"/>
      <c r="D3" s="161"/>
      <c r="E3" s="161"/>
      <c r="F3" s="162"/>
      <c r="G3" s="14"/>
      <c r="H3" s="14"/>
      <c r="I3" s="14"/>
      <c r="J3" s="15"/>
      <c r="K3" s="15"/>
      <c r="L3" s="15"/>
      <c r="S3" s="15"/>
      <c r="T3" s="15"/>
      <c r="U3" s="14"/>
      <c r="V3" s="14"/>
      <c r="W3" s="14"/>
    </row>
    <row r="4" spans="1:23" ht="14.25" customHeight="1">
      <c r="A4" s="163"/>
      <c r="B4" s="164"/>
      <c r="C4" s="164"/>
      <c r="D4" s="164"/>
      <c r="E4" s="164"/>
      <c r="F4" s="165"/>
      <c r="G4" s="14"/>
      <c r="H4" s="14"/>
      <c r="I4" s="14"/>
      <c r="J4" s="14"/>
      <c r="K4" s="14"/>
      <c r="L4" s="14"/>
      <c r="S4" s="15"/>
      <c r="T4" s="15"/>
      <c r="U4" s="14"/>
      <c r="V4" s="14"/>
      <c r="W4" s="14"/>
    </row>
    <row r="5" spans="1:23" ht="21.75" customHeight="1">
      <c r="A5" s="167" t="s">
        <v>24</v>
      </c>
      <c r="B5" s="164"/>
      <c r="C5" s="164"/>
      <c r="D5" s="164"/>
      <c r="E5" s="164"/>
      <c r="F5" s="165"/>
      <c r="G5" s="14"/>
      <c r="H5" s="14"/>
      <c r="I5" s="14"/>
      <c r="J5" s="14"/>
      <c r="K5" s="14"/>
      <c r="L5" s="14"/>
      <c r="S5" s="15"/>
      <c r="T5" s="15"/>
      <c r="U5" s="14"/>
      <c r="V5" s="14"/>
      <c r="W5" s="14"/>
    </row>
    <row r="6" spans="1:23" ht="21" customHeight="1">
      <c r="A6" s="167" t="s">
        <v>25</v>
      </c>
      <c r="B6" s="164"/>
      <c r="C6" s="164"/>
      <c r="D6" s="164"/>
      <c r="E6" s="164"/>
      <c r="F6" s="165"/>
      <c r="G6" s="14"/>
      <c r="H6" s="14"/>
      <c r="I6" s="14"/>
      <c r="J6" s="14"/>
      <c r="K6" s="14"/>
      <c r="L6" s="14"/>
      <c r="S6" s="15"/>
      <c r="T6" s="15"/>
      <c r="U6" s="14"/>
      <c r="V6" s="14"/>
      <c r="W6" s="14"/>
    </row>
    <row r="7" spans="1:23" ht="30" customHeight="1">
      <c r="A7" s="167" t="s">
        <v>26</v>
      </c>
      <c r="B7" s="164"/>
      <c r="C7" s="164"/>
      <c r="D7" s="164"/>
      <c r="E7" s="164"/>
      <c r="F7" s="165"/>
      <c r="G7" s="14"/>
      <c r="H7" s="14"/>
      <c r="I7" s="14"/>
      <c r="J7" s="14"/>
      <c r="K7" s="14"/>
      <c r="L7" s="14"/>
      <c r="S7" s="15"/>
      <c r="T7" s="15"/>
      <c r="U7" s="14"/>
      <c r="V7" s="14"/>
      <c r="W7" s="14"/>
    </row>
    <row r="8" spans="1:23" ht="31.5" customHeight="1">
      <c r="A8" s="167" t="s">
        <v>27</v>
      </c>
      <c r="B8" s="164"/>
      <c r="C8" s="164"/>
      <c r="D8" s="164"/>
      <c r="E8" s="164"/>
      <c r="F8" s="165"/>
      <c r="G8" s="14"/>
      <c r="H8" s="14"/>
      <c r="I8" s="14"/>
      <c r="J8" s="14"/>
      <c r="K8" s="14"/>
      <c r="L8" s="14"/>
      <c r="S8" s="15"/>
      <c r="T8" s="15"/>
      <c r="U8" s="14"/>
      <c r="V8" s="14"/>
      <c r="W8" s="14"/>
    </row>
    <row r="9" spans="1:23" ht="68.25" customHeight="1">
      <c r="A9" s="178" t="s">
        <v>28</v>
      </c>
      <c r="B9" s="158"/>
      <c r="C9" s="158"/>
      <c r="D9" s="158"/>
      <c r="E9" s="158"/>
      <c r="F9" s="159"/>
      <c r="G9" s="14"/>
      <c r="H9" s="14"/>
      <c r="I9" s="14"/>
      <c r="J9" s="14"/>
      <c r="K9" s="14"/>
      <c r="L9" s="14"/>
      <c r="S9" s="15"/>
      <c r="T9" s="15"/>
      <c r="U9" s="14"/>
      <c r="V9" s="14"/>
      <c r="W9" s="14"/>
    </row>
    <row r="10" spans="1:23" ht="93.75" customHeight="1">
      <c r="A10" s="176" t="s">
        <v>29</v>
      </c>
      <c r="B10" s="161"/>
      <c r="C10" s="161"/>
      <c r="D10" s="161"/>
      <c r="E10" s="161"/>
      <c r="F10" s="162"/>
      <c r="G10" s="14"/>
      <c r="H10" s="14"/>
      <c r="I10" s="14"/>
      <c r="J10" s="14"/>
      <c r="K10" s="14"/>
      <c r="L10" s="14"/>
      <c r="S10" s="14"/>
      <c r="T10" s="14"/>
      <c r="U10" s="14"/>
      <c r="V10" s="14"/>
      <c r="W10" s="14"/>
    </row>
    <row r="11" spans="1:23" ht="17.25" customHeight="1">
      <c r="A11" s="169" t="s">
        <v>30</v>
      </c>
      <c r="B11" s="170"/>
      <c r="C11" s="170"/>
      <c r="D11" s="170"/>
      <c r="E11" s="170"/>
      <c r="F11" s="171"/>
      <c r="G11" s="14"/>
      <c r="H11" s="14"/>
      <c r="I11" s="14"/>
      <c r="J11" s="14"/>
      <c r="K11" s="14"/>
      <c r="L11" s="14"/>
      <c r="S11" s="14"/>
      <c r="T11" s="14"/>
      <c r="U11" s="14"/>
      <c r="V11" s="14"/>
      <c r="W11" s="14"/>
    </row>
    <row r="12" spans="1:23" ht="20.25" customHeight="1">
      <c r="A12" s="169" t="s">
        <v>31</v>
      </c>
      <c r="B12" s="170"/>
      <c r="C12" s="170"/>
      <c r="D12" s="170"/>
      <c r="E12" s="170"/>
      <c r="F12" s="171"/>
      <c r="G12" s="14"/>
      <c r="H12" s="14"/>
      <c r="I12" s="14"/>
      <c r="J12" s="14"/>
      <c r="K12" s="14"/>
      <c r="L12" s="14"/>
      <c r="S12" s="14"/>
      <c r="T12" s="14"/>
      <c r="U12" s="14"/>
      <c r="V12" s="14"/>
      <c r="W12" s="14"/>
    </row>
    <row r="13" spans="1:23" ht="29.25" customHeight="1">
      <c r="A13" s="177" t="s">
        <v>32</v>
      </c>
      <c r="B13" s="170"/>
      <c r="C13" s="170"/>
      <c r="D13" s="170"/>
      <c r="E13" s="170"/>
      <c r="F13" s="171"/>
      <c r="G13" s="14"/>
      <c r="H13" s="14"/>
      <c r="I13" s="14"/>
      <c r="J13" s="14"/>
      <c r="K13" s="14"/>
      <c r="L13" s="14"/>
      <c r="S13" s="14"/>
      <c r="T13" s="14"/>
      <c r="U13" s="14"/>
      <c r="V13" s="14"/>
      <c r="W13" s="14"/>
    </row>
    <row r="14" spans="1:23" ht="26.25" customHeight="1">
      <c r="A14" s="174" t="s">
        <v>33</v>
      </c>
      <c r="B14" s="170"/>
      <c r="C14" s="170"/>
      <c r="D14" s="170"/>
      <c r="E14" s="170"/>
      <c r="F14" s="171"/>
      <c r="G14" s="14"/>
      <c r="H14" s="14"/>
      <c r="I14" s="14"/>
      <c r="J14" s="14"/>
      <c r="K14" s="14"/>
      <c r="L14" s="14"/>
      <c r="S14" s="14"/>
      <c r="T14" s="14"/>
      <c r="U14" s="14"/>
      <c r="V14" s="14"/>
      <c r="W14" s="14"/>
    </row>
    <row r="15" spans="1:23" ht="24.75" customHeight="1">
      <c r="A15" s="169" t="s">
        <v>34</v>
      </c>
      <c r="B15" s="170"/>
      <c r="C15" s="170"/>
      <c r="D15" s="170"/>
      <c r="E15" s="170"/>
      <c r="F15" s="171"/>
      <c r="G15" s="14"/>
      <c r="H15" s="14"/>
      <c r="I15" s="14"/>
      <c r="J15" s="14"/>
      <c r="K15" s="14"/>
      <c r="L15" s="14"/>
      <c r="S15" s="14"/>
      <c r="T15" s="14"/>
      <c r="U15" s="14"/>
      <c r="V15" s="14"/>
      <c r="W15" s="14"/>
    </row>
    <row r="16" spans="1:23" ht="24.75" customHeight="1">
      <c r="A16" s="169" t="s">
        <v>35</v>
      </c>
      <c r="B16" s="170"/>
      <c r="C16" s="170"/>
      <c r="D16" s="170"/>
      <c r="E16" s="170"/>
      <c r="F16" s="171"/>
      <c r="G16" s="14"/>
      <c r="H16" s="14"/>
      <c r="I16" s="14"/>
      <c r="J16" s="14"/>
      <c r="K16" s="14"/>
      <c r="L16" s="14"/>
      <c r="S16" s="14"/>
      <c r="T16" s="14"/>
      <c r="U16" s="14"/>
      <c r="V16" s="14"/>
      <c r="W16" s="14"/>
    </row>
    <row r="17" spans="1:23" ht="24.75" customHeight="1">
      <c r="A17" s="175" t="s">
        <v>36</v>
      </c>
      <c r="B17" s="164"/>
      <c r="C17" s="164"/>
      <c r="D17" s="164"/>
      <c r="E17" s="164"/>
      <c r="F17" s="165"/>
      <c r="G17" s="14"/>
      <c r="H17" s="14"/>
      <c r="I17" s="14"/>
      <c r="J17" s="14"/>
      <c r="K17" s="14"/>
      <c r="L17" s="14"/>
      <c r="S17" s="14"/>
      <c r="T17" s="14"/>
      <c r="U17" s="14"/>
      <c r="V17" s="14"/>
      <c r="W17" s="14"/>
    </row>
    <row r="18" spans="1:23" ht="18.75" customHeight="1">
      <c r="A18" s="16" t="s">
        <v>37</v>
      </c>
      <c r="B18" s="17"/>
      <c r="C18" s="17"/>
      <c r="D18" s="17"/>
      <c r="E18" s="17"/>
      <c r="F18" s="18"/>
      <c r="G18" s="14"/>
      <c r="H18" s="14"/>
      <c r="I18" s="14"/>
      <c r="J18" s="14"/>
      <c r="K18" s="14"/>
      <c r="L18" s="14"/>
      <c r="S18" s="14"/>
      <c r="T18" s="14"/>
      <c r="U18" s="14"/>
      <c r="V18" s="14"/>
      <c r="W18" s="14"/>
    </row>
    <row r="19" spans="1:23" ht="13.2">
      <c r="A19" s="19" t="s">
        <v>38</v>
      </c>
      <c r="B19" s="19" t="s">
        <v>39</v>
      </c>
      <c r="C19" s="19" t="s">
        <v>40</v>
      </c>
      <c r="D19" s="19" t="s">
        <v>41</v>
      </c>
      <c r="E19" s="19" t="s">
        <v>42</v>
      </c>
      <c r="F19" s="19" t="s">
        <v>43</v>
      </c>
      <c r="G19" s="20" t="s">
        <v>44</v>
      </c>
      <c r="H19" s="20" t="s">
        <v>45</v>
      </c>
      <c r="I19" s="20" t="s">
        <v>46</v>
      </c>
      <c r="J19" s="20" t="s">
        <v>47</v>
      </c>
      <c r="K19" s="20" t="s">
        <v>48</v>
      </c>
      <c r="L19" s="20" t="s">
        <v>49</v>
      </c>
      <c r="M19" s="20" t="s">
        <v>50</v>
      </c>
      <c r="N19" s="20" t="s">
        <v>51</v>
      </c>
      <c r="O19" s="20" t="s">
        <v>52</v>
      </c>
      <c r="P19" s="20" t="s">
        <v>53</v>
      </c>
      <c r="Q19" s="20" t="s">
        <v>54</v>
      </c>
      <c r="R19" s="20" t="s">
        <v>55</v>
      </c>
      <c r="S19" s="20" t="s">
        <v>56</v>
      </c>
      <c r="T19" s="20" t="s">
        <v>57</v>
      </c>
      <c r="U19" s="20" t="s">
        <v>58</v>
      </c>
      <c r="V19" s="20" t="s">
        <v>59</v>
      </c>
      <c r="W19" s="20" t="s">
        <v>60</v>
      </c>
    </row>
    <row r="20" spans="1:23" ht="92.4">
      <c r="A20" s="21" t="s">
        <v>61</v>
      </c>
      <c r="B20" s="21" t="s">
        <v>62</v>
      </c>
      <c r="C20" s="21" t="s">
        <v>63</v>
      </c>
      <c r="D20" s="21" t="s">
        <v>64</v>
      </c>
      <c r="E20" s="21" t="s">
        <v>65</v>
      </c>
      <c r="F20" s="21" t="s">
        <v>66</v>
      </c>
      <c r="G20" s="21" t="s">
        <v>67</v>
      </c>
      <c r="H20" s="21" t="s">
        <v>68</v>
      </c>
      <c r="I20" s="172" t="s">
        <v>69</v>
      </c>
      <c r="J20" s="158"/>
      <c r="K20" s="158"/>
      <c r="L20" s="159"/>
      <c r="M20" s="21" t="s">
        <v>70</v>
      </c>
      <c r="N20" s="21" t="s">
        <v>71</v>
      </c>
      <c r="O20" s="21" t="s">
        <v>72</v>
      </c>
      <c r="P20" s="21" t="s">
        <v>73</v>
      </c>
      <c r="Q20" s="21" t="s">
        <v>74</v>
      </c>
      <c r="R20" s="21" t="s">
        <v>75</v>
      </c>
      <c r="S20" s="21" t="s">
        <v>76</v>
      </c>
      <c r="T20" s="21" t="s">
        <v>77</v>
      </c>
      <c r="U20" s="21" t="s">
        <v>78</v>
      </c>
      <c r="V20" s="21" t="s">
        <v>79</v>
      </c>
      <c r="W20" s="21" t="s">
        <v>80</v>
      </c>
    </row>
    <row r="21" spans="1:23" ht="79.2">
      <c r="A21" s="22">
        <v>1</v>
      </c>
      <c r="B21" s="23" t="s">
        <v>81</v>
      </c>
      <c r="C21" s="22">
        <f>3820*2</f>
        <v>7640</v>
      </c>
      <c r="D21" s="24">
        <v>0.11020000000000001</v>
      </c>
      <c r="E21" s="24">
        <v>0.88980000000000004</v>
      </c>
      <c r="F21" s="25" t="s">
        <v>82</v>
      </c>
      <c r="G21" s="26">
        <v>1</v>
      </c>
      <c r="H21" s="26">
        <v>0</v>
      </c>
      <c r="I21" s="181" t="s">
        <v>83</v>
      </c>
      <c r="J21" s="158"/>
      <c r="K21" s="158"/>
      <c r="L21" s="159"/>
      <c r="M21" s="27" t="s">
        <v>84</v>
      </c>
      <c r="N21" s="28" t="s">
        <v>85</v>
      </c>
      <c r="O21" s="28" t="s">
        <v>86</v>
      </c>
      <c r="P21" s="28" t="s">
        <v>87</v>
      </c>
      <c r="Q21" s="28" t="s">
        <v>87</v>
      </c>
      <c r="R21" s="28" t="s">
        <v>87</v>
      </c>
      <c r="S21" s="29" t="s">
        <v>88</v>
      </c>
      <c r="T21" s="30" t="s">
        <v>89</v>
      </c>
      <c r="U21" s="31"/>
      <c r="V21" s="31"/>
      <c r="W21" s="32" t="s">
        <v>90</v>
      </c>
    </row>
    <row r="22" spans="1:23" ht="145.19999999999999">
      <c r="A22" s="33">
        <v>2</v>
      </c>
      <c r="B22" s="10" t="s">
        <v>91</v>
      </c>
      <c r="C22" s="33">
        <f>421*2</f>
        <v>842</v>
      </c>
      <c r="D22" s="34">
        <v>0.93589999999999995</v>
      </c>
      <c r="E22" s="34">
        <v>6.4100000000000004E-2</v>
      </c>
      <c r="F22" s="34">
        <v>0.88980000000000004</v>
      </c>
      <c r="G22" s="35">
        <v>2</v>
      </c>
      <c r="H22" s="35">
        <v>1</v>
      </c>
      <c r="I22" s="179" t="s">
        <v>92</v>
      </c>
      <c r="J22" s="158"/>
      <c r="K22" s="158"/>
      <c r="L22" s="159"/>
      <c r="M22" s="36" t="s">
        <v>93</v>
      </c>
      <c r="N22" s="37" t="s">
        <v>94</v>
      </c>
      <c r="O22" s="37" t="s">
        <v>95</v>
      </c>
      <c r="P22" s="37" t="s">
        <v>87</v>
      </c>
      <c r="Q22" s="37" t="s">
        <v>87</v>
      </c>
      <c r="R22" s="37" t="s">
        <v>87</v>
      </c>
      <c r="S22" s="38" t="s">
        <v>88</v>
      </c>
      <c r="T22" s="39" t="s">
        <v>89</v>
      </c>
      <c r="U22" s="9" t="s">
        <v>89</v>
      </c>
      <c r="V22" s="39" t="s">
        <v>96</v>
      </c>
      <c r="W22" s="40" t="s">
        <v>97</v>
      </c>
    </row>
    <row r="23" spans="1:23" ht="184.8">
      <c r="A23" s="33">
        <v>3</v>
      </c>
      <c r="B23" s="10" t="s">
        <v>98</v>
      </c>
      <c r="C23" s="33">
        <f>394*2</f>
        <v>788</v>
      </c>
      <c r="D23" s="34">
        <v>0.97209999999999996</v>
      </c>
      <c r="E23" s="34">
        <v>2.7900000000000001E-2</v>
      </c>
      <c r="F23" s="34">
        <v>0.89690000000000003</v>
      </c>
      <c r="G23" s="35">
        <v>1</v>
      </c>
      <c r="H23" s="35">
        <v>0</v>
      </c>
      <c r="I23" s="173" t="s">
        <v>99</v>
      </c>
      <c r="J23" s="158"/>
      <c r="K23" s="158"/>
      <c r="L23" s="159"/>
      <c r="M23" s="36" t="s">
        <v>100</v>
      </c>
      <c r="N23" s="37" t="s">
        <v>101</v>
      </c>
      <c r="O23" s="37" t="s">
        <v>102</v>
      </c>
      <c r="P23" s="37" t="s">
        <v>87</v>
      </c>
      <c r="Q23" s="37" t="s">
        <v>103</v>
      </c>
      <c r="R23" s="37" t="s">
        <v>104</v>
      </c>
      <c r="S23" s="38" t="s">
        <v>105</v>
      </c>
      <c r="T23" s="39" t="s">
        <v>106</v>
      </c>
      <c r="U23" s="39" t="s">
        <v>107</v>
      </c>
      <c r="V23" s="9" t="s">
        <v>108</v>
      </c>
      <c r="W23" s="40" t="s">
        <v>109</v>
      </c>
    </row>
    <row r="24" spans="1:23" ht="198">
      <c r="A24" s="33">
        <v>4</v>
      </c>
      <c r="B24" s="10" t="s">
        <v>110</v>
      </c>
      <c r="C24" s="33">
        <f>383*2</f>
        <v>766</v>
      </c>
      <c r="D24" s="34">
        <v>0.96870000000000001</v>
      </c>
      <c r="E24" s="34">
        <v>3.1300000000000001E-2</v>
      </c>
      <c r="F24" s="34">
        <v>0.89970000000000006</v>
      </c>
      <c r="G24" s="35">
        <v>1</v>
      </c>
      <c r="H24" s="35">
        <v>0</v>
      </c>
      <c r="I24" s="173" t="s">
        <v>111</v>
      </c>
      <c r="J24" s="158"/>
      <c r="K24" s="158"/>
      <c r="L24" s="159"/>
      <c r="M24" s="41" t="s">
        <v>112</v>
      </c>
      <c r="N24" s="42" t="s">
        <v>113</v>
      </c>
      <c r="O24" s="42" t="s">
        <v>114</v>
      </c>
      <c r="P24" s="42" t="s">
        <v>87</v>
      </c>
      <c r="Q24" s="42" t="s">
        <v>115</v>
      </c>
      <c r="R24" s="42" t="s">
        <v>116</v>
      </c>
      <c r="S24" s="38" t="s">
        <v>105</v>
      </c>
      <c r="T24" s="39" t="s">
        <v>117</v>
      </c>
      <c r="U24" s="39" t="s">
        <v>118</v>
      </c>
      <c r="V24" s="9" t="s">
        <v>119</v>
      </c>
      <c r="W24" s="40" t="s">
        <v>120</v>
      </c>
    </row>
    <row r="25" spans="1:23" ht="184.8">
      <c r="A25" s="33">
        <v>5</v>
      </c>
      <c r="B25" s="10" t="s">
        <v>121</v>
      </c>
      <c r="C25" s="33">
        <f>371*2</f>
        <v>742</v>
      </c>
      <c r="D25" s="34">
        <v>0.98919999999999997</v>
      </c>
      <c r="E25" s="34">
        <v>1.0800000000000001E-2</v>
      </c>
      <c r="F25" s="34">
        <v>0.90290000000000004</v>
      </c>
      <c r="G25" s="35">
        <v>5</v>
      </c>
      <c r="H25" s="35">
        <v>4</v>
      </c>
      <c r="I25" s="173" t="s">
        <v>122</v>
      </c>
      <c r="J25" s="158"/>
      <c r="K25" s="158"/>
      <c r="L25" s="159"/>
      <c r="M25" s="41" t="s">
        <v>123</v>
      </c>
      <c r="N25" s="42" t="s">
        <v>124</v>
      </c>
      <c r="O25" s="42" t="s">
        <v>125</v>
      </c>
      <c r="P25" s="42" t="s">
        <v>87</v>
      </c>
      <c r="Q25" s="42" t="s">
        <v>87</v>
      </c>
      <c r="R25" s="42" t="s">
        <v>126</v>
      </c>
      <c r="S25" s="38" t="s">
        <v>105</v>
      </c>
      <c r="T25" s="9" t="s">
        <v>127</v>
      </c>
      <c r="U25" s="9" t="s">
        <v>128</v>
      </c>
      <c r="V25" s="39" t="s">
        <v>129</v>
      </c>
      <c r="W25" s="40" t="s">
        <v>130</v>
      </c>
    </row>
    <row r="26" spans="1:23" ht="171.6">
      <c r="A26" s="33">
        <v>6</v>
      </c>
      <c r="B26" s="10" t="s">
        <v>131</v>
      </c>
      <c r="C26" s="33">
        <f>367*2</f>
        <v>734</v>
      </c>
      <c r="D26" s="34">
        <v>0.86380000000000001</v>
      </c>
      <c r="E26" s="34">
        <v>0.13619999999999999</v>
      </c>
      <c r="F26" s="34">
        <v>0.90390000000000004</v>
      </c>
      <c r="G26" s="35">
        <v>2</v>
      </c>
      <c r="H26" s="35">
        <v>1</v>
      </c>
      <c r="I26" s="173" t="s">
        <v>132</v>
      </c>
      <c r="J26" s="158"/>
      <c r="K26" s="158"/>
      <c r="L26" s="159"/>
      <c r="M26" s="41" t="s">
        <v>133</v>
      </c>
      <c r="N26" s="42" t="s">
        <v>134</v>
      </c>
      <c r="O26" s="42" t="s">
        <v>135</v>
      </c>
      <c r="P26" s="42" t="s">
        <v>87</v>
      </c>
      <c r="Q26" s="42" t="s">
        <v>87</v>
      </c>
      <c r="R26" s="42" t="s">
        <v>136</v>
      </c>
      <c r="S26" s="38" t="s">
        <v>88</v>
      </c>
      <c r="T26" s="9" t="s">
        <v>89</v>
      </c>
      <c r="U26" s="9" t="s">
        <v>89</v>
      </c>
      <c r="V26" s="39" t="s">
        <v>137</v>
      </c>
      <c r="W26" s="40" t="s">
        <v>138</v>
      </c>
    </row>
    <row r="27" spans="1:23" ht="211.2">
      <c r="A27" s="33">
        <v>7</v>
      </c>
      <c r="B27" s="10" t="s">
        <v>139</v>
      </c>
      <c r="C27" s="33">
        <f>317*2</f>
        <v>634</v>
      </c>
      <c r="D27" s="34">
        <v>0.96850000000000003</v>
      </c>
      <c r="E27" s="34">
        <v>3.15E-2</v>
      </c>
      <c r="F27" s="34">
        <v>0.91700000000000004</v>
      </c>
      <c r="G27" s="35">
        <v>3</v>
      </c>
      <c r="H27" s="35">
        <v>3</v>
      </c>
      <c r="I27" s="173" t="s">
        <v>140</v>
      </c>
      <c r="J27" s="158"/>
      <c r="K27" s="158"/>
      <c r="L27" s="159"/>
      <c r="M27" s="41" t="s">
        <v>141</v>
      </c>
      <c r="N27" s="42" t="s">
        <v>142</v>
      </c>
      <c r="O27" s="42" t="s">
        <v>143</v>
      </c>
      <c r="P27" s="42" t="s">
        <v>87</v>
      </c>
      <c r="Q27" s="42" t="s">
        <v>87</v>
      </c>
      <c r="R27" s="42" t="s">
        <v>144</v>
      </c>
      <c r="S27" s="38" t="s">
        <v>105</v>
      </c>
      <c r="T27" s="9" t="s">
        <v>145</v>
      </c>
      <c r="U27" s="9" t="s">
        <v>146</v>
      </c>
      <c r="V27" s="39" t="s">
        <v>147</v>
      </c>
      <c r="W27" s="40" t="s">
        <v>148</v>
      </c>
    </row>
    <row r="28" spans="1:23" ht="184.8">
      <c r="A28" s="33">
        <v>8</v>
      </c>
      <c r="B28" s="10" t="s">
        <v>149</v>
      </c>
      <c r="C28" s="33">
        <f>307*2</f>
        <v>614</v>
      </c>
      <c r="D28" s="34">
        <v>0.92179999999999995</v>
      </c>
      <c r="E28" s="34">
        <v>7.8200000000000006E-2</v>
      </c>
      <c r="F28" s="34">
        <v>0.91959999999999997</v>
      </c>
      <c r="G28" s="35">
        <v>2</v>
      </c>
      <c r="H28" s="35">
        <v>1</v>
      </c>
      <c r="I28" s="173" t="s">
        <v>150</v>
      </c>
      <c r="J28" s="158"/>
      <c r="K28" s="158"/>
      <c r="L28" s="159"/>
      <c r="M28" s="41" t="s">
        <v>151</v>
      </c>
      <c r="N28" s="42" t="s">
        <v>152</v>
      </c>
      <c r="O28" s="42" t="s">
        <v>153</v>
      </c>
      <c r="P28" s="42" t="s">
        <v>87</v>
      </c>
      <c r="Q28" s="42" t="s">
        <v>154</v>
      </c>
      <c r="R28" s="42" t="s">
        <v>155</v>
      </c>
      <c r="S28" s="39" t="s">
        <v>105</v>
      </c>
      <c r="T28" s="9" t="s">
        <v>156</v>
      </c>
      <c r="U28" s="9" t="s">
        <v>157</v>
      </c>
      <c r="V28" s="9" t="s">
        <v>158</v>
      </c>
      <c r="W28" s="39" t="s">
        <v>159</v>
      </c>
    </row>
    <row r="29" spans="1:23" ht="211.2">
      <c r="A29" s="33">
        <v>9</v>
      </c>
      <c r="B29" s="10" t="s">
        <v>160</v>
      </c>
      <c r="C29" s="33">
        <f>283*2</f>
        <v>566</v>
      </c>
      <c r="D29" s="43">
        <f>C30/C29</f>
        <v>1</v>
      </c>
      <c r="E29" s="44">
        <f>1-D29</f>
        <v>0</v>
      </c>
      <c r="F29" s="34">
        <v>0.92589999999999995</v>
      </c>
      <c r="G29" s="35">
        <v>6</v>
      </c>
      <c r="H29" s="35">
        <v>4</v>
      </c>
      <c r="I29" s="173" t="s">
        <v>161</v>
      </c>
      <c r="J29" s="158"/>
      <c r="K29" s="158"/>
      <c r="L29" s="159"/>
      <c r="M29" s="41" t="s">
        <v>162</v>
      </c>
      <c r="N29" s="42" t="s">
        <v>163</v>
      </c>
      <c r="O29" s="42" t="s">
        <v>164</v>
      </c>
      <c r="P29" s="42" t="s">
        <v>87</v>
      </c>
      <c r="Q29" s="42" t="s">
        <v>165</v>
      </c>
      <c r="R29" s="42" t="s">
        <v>166</v>
      </c>
      <c r="S29" s="39" t="s">
        <v>105</v>
      </c>
      <c r="T29" s="39" t="s">
        <v>167</v>
      </c>
      <c r="U29" s="39" t="s">
        <v>168</v>
      </c>
      <c r="V29" s="39" t="s">
        <v>169</v>
      </c>
      <c r="W29" s="39" t="s">
        <v>170</v>
      </c>
    </row>
    <row r="30" spans="1:23" ht="13.2">
      <c r="A30" s="45">
        <v>10</v>
      </c>
      <c r="B30" s="46" t="s">
        <v>171</v>
      </c>
      <c r="C30" s="47">
        <f>C29</f>
        <v>566</v>
      </c>
      <c r="D30" s="14"/>
      <c r="E30" s="48"/>
      <c r="F30" s="49"/>
      <c r="G30" s="50"/>
      <c r="H30" s="50"/>
      <c r="I30" s="14"/>
      <c r="J30" s="14"/>
      <c r="K30" s="14"/>
      <c r="L30" s="14"/>
      <c r="M30" s="14"/>
      <c r="N30" s="14"/>
      <c r="O30" s="14"/>
      <c r="P30" s="14"/>
      <c r="Q30" s="14"/>
      <c r="R30" s="14"/>
      <c r="S30" s="14"/>
      <c r="T30" s="14"/>
      <c r="U30" s="14"/>
      <c r="V30" s="14"/>
      <c r="W30" s="14"/>
    </row>
    <row r="31" spans="1:23" ht="13.2">
      <c r="A31" s="14"/>
      <c r="B31" s="14"/>
      <c r="C31" s="14"/>
      <c r="D31" s="14"/>
      <c r="E31" s="51"/>
      <c r="F31" s="46" t="s">
        <v>172</v>
      </c>
      <c r="G31" s="46" t="s">
        <v>173</v>
      </c>
      <c r="H31" s="46" t="s">
        <v>173</v>
      </c>
      <c r="I31" s="14"/>
      <c r="J31" s="14"/>
      <c r="K31" s="14"/>
      <c r="L31" s="14"/>
      <c r="M31" s="14"/>
      <c r="N31" s="14"/>
      <c r="O31" s="14"/>
      <c r="P31" s="14"/>
      <c r="Q31" s="14"/>
      <c r="R31" s="14"/>
      <c r="S31" s="14"/>
      <c r="T31" s="14"/>
      <c r="U31" s="14"/>
      <c r="V31" s="14"/>
      <c r="W31" s="14"/>
    </row>
    <row r="32" spans="1:23" ht="13.2">
      <c r="A32" s="14"/>
      <c r="B32" s="14"/>
      <c r="C32" s="14"/>
      <c r="D32" s="14"/>
      <c r="E32" s="51"/>
      <c r="F32" s="52"/>
      <c r="G32" s="53"/>
      <c r="H32" s="53"/>
      <c r="I32" s="14"/>
      <c r="J32" s="14"/>
      <c r="K32" s="14"/>
      <c r="L32" s="14"/>
      <c r="M32" s="14"/>
      <c r="N32" s="14"/>
      <c r="O32" s="14"/>
      <c r="P32" s="14"/>
      <c r="Q32" s="14"/>
      <c r="R32" s="14"/>
      <c r="S32" s="14"/>
      <c r="T32" s="14"/>
      <c r="U32" s="14"/>
      <c r="V32" s="14"/>
      <c r="W32" s="14"/>
    </row>
    <row r="33" spans="1:23" ht="13.2">
      <c r="A33" s="14"/>
      <c r="B33" s="14"/>
      <c r="C33" s="14"/>
      <c r="D33" s="14"/>
      <c r="E33" s="14"/>
      <c r="F33" s="14"/>
      <c r="G33" s="14"/>
      <c r="H33" s="14"/>
      <c r="I33" s="14"/>
      <c r="J33" s="14"/>
      <c r="K33" s="14"/>
      <c r="L33" s="14"/>
      <c r="M33" s="14"/>
      <c r="N33" s="14"/>
      <c r="O33" s="14"/>
      <c r="P33" s="14"/>
      <c r="Q33" s="14"/>
      <c r="R33" s="14"/>
      <c r="S33" s="14"/>
      <c r="T33" s="14"/>
      <c r="U33" s="14"/>
      <c r="V33" s="14"/>
      <c r="W33" s="14"/>
    </row>
  </sheetData>
  <mergeCells count="25">
    <mergeCell ref="A1:W2"/>
    <mergeCell ref="I21:L21"/>
    <mergeCell ref="A6:F6"/>
    <mergeCell ref="I24:L24"/>
    <mergeCell ref="A7:F7"/>
    <mergeCell ref="I23:L23"/>
    <mergeCell ref="A3:F4"/>
    <mergeCell ref="A15:F15"/>
    <mergeCell ref="I22:L22"/>
    <mergeCell ref="A11:F11"/>
    <mergeCell ref="I28:L28"/>
    <mergeCell ref="A5:F5"/>
    <mergeCell ref="A8:F8"/>
    <mergeCell ref="A17:F17"/>
    <mergeCell ref="I27:L27"/>
    <mergeCell ref="A10:F10"/>
    <mergeCell ref="I26:L26"/>
    <mergeCell ref="A13:F13"/>
    <mergeCell ref="A9:F9"/>
    <mergeCell ref="I25:L25"/>
    <mergeCell ref="A16:F16"/>
    <mergeCell ref="I20:L20"/>
    <mergeCell ref="A12:F12"/>
    <mergeCell ref="I29:L29"/>
    <mergeCell ref="A14:F1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23"/>
  <sheetViews>
    <sheetView showGridLines="0" topLeftCell="H21" workbookViewId="0">
      <selection sqref="A1:P2"/>
    </sheetView>
  </sheetViews>
  <sheetFormatPr defaultColWidth="12.6640625" defaultRowHeight="15.75" customHeight="1"/>
  <cols>
    <col min="2" max="2" width="51.77734375" customWidth="1"/>
    <col min="3" max="3" width="19" customWidth="1"/>
    <col min="4" max="4" width="39" customWidth="1"/>
    <col min="5" max="5" width="38.21875" customWidth="1"/>
    <col min="6" max="6" width="39" customWidth="1"/>
    <col min="7" max="7" width="37.88671875" customWidth="1"/>
    <col min="8" max="8" width="38.33203125" customWidth="1"/>
    <col min="9" max="9" width="25.77734375" customWidth="1"/>
    <col min="10" max="10" width="20.109375" customWidth="1"/>
    <col min="11" max="11" width="24.88671875" customWidth="1"/>
    <col min="12" max="12" width="25" customWidth="1"/>
    <col min="13" max="13" width="14.109375" customWidth="1"/>
  </cols>
  <sheetData>
    <row r="1" spans="1:16" ht="13.2">
      <c r="A1" s="180" t="s">
        <v>12</v>
      </c>
      <c r="B1" s="161"/>
      <c r="C1" s="161"/>
      <c r="D1" s="161"/>
      <c r="E1" s="161"/>
      <c r="F1" s="161"/>
      <c r="G1" s="161"/>
      <c r="H1" s="161"/>
      <c r="I1" s="161"/>
      <c r="J1" s="161"/>
      <c r="K1" s="161"/>
      <c r="L1" s="161"/>
      <c r="M1" s="161"/>
      <c r="N1" s="161"/>
      <c r="O1" s="161"/>
      <c r="P1" s="162"/>
    </row>
    <row r="2" spans="1:16" ht="13.2">
      <c r="A2" s="163"/>
      <c r="B2" s="164"/>
      <c r="C2" s="164"/>
      <c r="D2" s="164"/>
      <c r="E2" s="164"/>
      <c r="F2" s="164"/>
      <c r="G2" s="164"/>
      <c r="H2" s="164"/>
      <c r="I2" s="164"/>
      <c r="J2" s="164"/>
      <c r="K2" s="164"/>
      <c r="L2" s="164"/>
      <c r="M2" s="164"/>
      <c r="N2" s="164"/>
      <c r="O2" s="164"/>
      <c r="P2" s="165"/>
    </row>
    <row r="3" spans="1:16" ht="13.2">
      <c r="A3" s="176" t="s">
        <v>174</v>
      </c>
      <c r="B3" s="161"/>
      <c r="C3" s="161"/>
      <c r="D3" s="161"/>
      <c r="E3" s="161"/>
      <c r="F3" s="162"/>
      <c r="K3" s="15"/>
      <c r="L3" s="15"/>
      <c r="M3" s="14"/>
      <c r="N3" s="14"/>
      <c r="O3" s="14"/>
      <c r="P3" s="14"/>
    </row>
    <row r="4" spans="1:16" ht="13.2">
      <c r="A4" s="176" t="s">
        <v>175</v>
      </c>
      <c r="B4" s="161"/>
      <c r="C4" s="161"/>
      <c r="D4" s="161"/>
      <c r="E4" s="161"/>
      <c r="F4" s="162"/>
      <c r="K4" s="15"/>
      <c r="L4" s="15"/>
      <c r="M4" s="14"/>
      <c r="N4" s="14"/>
      <c r="O4" s="14"/>
      <c r="P4" s="14"/>
    </row>
    <row r="5" spans="1:16" ht="13.2">
      <c r="A5" s="183" t="s">
        <v>176</v>
      </c>
      <c r="B5" s="161"/>
      <c r="C5" s="161"/>
      <c r="D5" s="161"/>
      <c r="E5" s="161"/>
      <c r="F5" s="162"/>
      <c r="K5" s="14"/>
      <c r="L5" s="14"/>
      <c r="M5" s="14"/>
      <c r="N5" s="14"/>
      <c r="O5" s="14"/>
      <c r="P5" s="14"/>
    </row>
    <row r="6" spans="1:16" ht="15" customHeight="1">
      <c r="A6" s="182" t="s">
        <v>177</v>
      </c>
      <c r="B6" s="170"/>
      <c r="C6" s="170"/>
      <c r="D6" s="170"/>
      <c r="E6" s="170"/>
      <c r="F6" s="171"/>
      <c r="K6" s="14"/>
      <c r="L6" s="14"/>
      <c r="M6" s="14"/>
      <c r="N6" s="14"/>
      <c r="O6" s="14"/>
      <c r="P6" s="14"/>
    </row>
    <row r="7" spans="1:16" ht="15" customHeight="1">
      <c r="A7" s="182" t="s">
        <v>178</v>
      </c>
      <c r="B7" s="170"/>
      <c r="C7" s="170"/>
      <c r="D7" s="170"/>
      <c r="E7" s="170"/>
      <c r="F7" s="171"/>
      <c r="K7" s="14"/>
      <c r="L7" s="14"/>
      <c r="M7" s="14"/>
      <c r="N7" s="14"/>
      <c r="O7" s="14"/>
      <c r="P7" s="14"/>
    </row>
    <row r="8" spans="1:16" ht="15" customHeight="1">
      <c r="A8" s="182" t="s">
        <v>179</v>
      </c>
      <c r="B8" s="170"/>
      <c r="C8" s="170"/>
      <c r="D8" s="170"/>
      <c r="E8" s="170"/>
      <c r="F8" s="171"/>
      <c r="K8" s="14"/>
      <c r="L8" s="14"/>
      <c r="M8" s="14"/>
      <c r="N8" s="14"/>
      <c r="O8" s="14"/>
      <c r="P8" s="14"/>
    </row>
    <row r="9" spans="1:16" ht="15" customHeight="1">
      <c r="A9" s="182" t="s">
        <v>180</v>
      </c>
      <c r="B9" s="170"/>
      <c r="C9" s="170"/>
      <c r="D9" s="170"/>
      <c r="E9" s="170"/>
      <c r="F9" s="171"/>
      <c r="K9" s="14"/>
      <c r="L9" s="14"/>
      <c r="M9" s="14"/>
      <c r="N9" s="14"/>
      <c r="O9" s="14"/>
      <c r="P9" s="14"/>
    </row>
    <row r="10" spans="1:16" ht="15" customHeight="1">
      <c r="A10" s="182" t="s">
        <v>181</v>
      </c>
      <c r="B10" s="170"/>
      <c r="C10" s="170"/>
      <c r="D10" s="170"/>
      <c r="E10" s="170"/>
      <c r="F10" s="171"/>
      <c r="K10" s="14"/>
      <c r="L10" s="14"/>
      <c r="M10" s="14"/>
      <c r="N10" s="14"/>
      <c r="O10" s="14"/>
      <c r="P10" s="14"/>
    </row>
    <row r="11" spans="1:16" ht="15" customHeight="1">
      <c r="A11" s="182" t="s">
        <v>182</v>
      </c>
      <c r="B11" s="170"/>
      <c r="C11" s="170"/>
      <c r="D11" s="170"/>
      <c r="E11" s="170"/>
      <c r="F11" s="171"/>
      <c r="K11" s="14"/>
      <c r="L11" s="14"/>
      <c r="M11" s="14"/>
      <c r="N11" s="14"/>
      <c r="O11" s="14"/>
      <c r="P11" s="14"/>
    </row>
    <row r="12" spans="1:16" ht="15" customHeight="1">
      <c r="A12" s="182" t="s">
        <v>183</v>
      </c>
      <c r="B12" s="170"/>
      <c r="C12" s="170"/>
      <c r="D12" s="170"/>
      <c r="E12" s="170"/>
      <c r="F12" s="171"/>
      <c r="K12" s="14"/>
      <c r="L12" s="14"/>
      <c r="M12" s="14"/>
      <c r="N12" s="14"/>
      <c r="O12" s="14"/>
      <c r="P12" s="14"/>
    </row>
    <row r="13" spans="1:16" ht="15" customHeight="1">
      <c r="A13" s="182" t="s">
        <v>184</v>
      </c>
      <c r="B13" s="170"/>
      <c r="C13" s="170"/>
      <c r="D13" s="170"/>
      <c r="E13" s="170"/>
      <c r="F13" s="171"/>
      <c r="K13" s="14"/>
      <c r="L13" s="14"/>
      <c r="M13" s="14"/>
      <c r="N13" s="14"/>
      <c r="O13" s="14"/>
      <c r="P13" s="14"/>
    </row>
    <row r="14" spans="1:16" ht="15" customHeight="1">
      <c r="A14" s="182" t="s">
        <v>185</v>
      </c>
      <c r="B14" s="170"/>
      <c r="C14" s="170"/>
      <c r="D14" s="170"/>
      <c r="E14" s="170"/>
      <c r="F14" s="171"/>
      <c r="K14" s="14"/>
      <c r="L14" s="14"/>
      <c r="M14" s="14"/>
      <c r="N14" s="14"/>
      <c r="O14" s="14"/>
      <c r="P14" s="14"/>
    </row>
    <row r="15" spans="1:16" ht="15" customHeight="1">
      <c r="A15" s="54" t="s">
        <v>186</v>
      </c>
      <c r="B15" s="55"/>
      <c r="C15" s="55"/>
      <c r="D15" s="55"/>
      <c r="E15" s="55"/>
      <c r="F15" s="56"/>
      <c r="K15" s="14"/>
      <c r="L15" s="14"/>
      <c r="M15" s="14"/>
      <c r="N15" s="14"/>
      <c r="O15" s="14"/>
      <c r="P15" s="14"/>
    </row>
    <row r="16" spans="1:16" ht="15" customHeight="1">
      <c r="A16" s="16" t="s">
        <v>37</v>
      </c>
      <c r="B16" s="17"/>
      <c r="C16" s="17"/>
      <c r="D16" s="17"/>
      <c r="E16" s="17"/>
      <c r="F16" s="18"/>
      <c r="K16" s="14"/>
      <c r="L16" s="14"/>
      <c r="M16" s="14"/>
      <c r="N16" s="14"/>
      <c r="O16" s="14"/>
      <c r="P16" s="14"/>
    </row>
    <row r="17" spans="1:16" ht="15" customHeight="1">
      <c r="A17" s="10" t="s">
        <v>38</v>
      </c>
      <c r="B17" s="10" t="s">
        <v>187</v>
      </c>
      <c r="C17" s="10" t="s">
        <v>188</v>
      </c>
      <c r="D17" s="10" t="s">
        <v>41</v>
      </c>
      <c r="E17" s="57" t="s">
        <v>42</v>
      </c>
      <c r="F17" s="57" t="s">
        <v>43</v>
      </c>
      <c r="G17" s="57" t="s">
        <v>44</v>
      </c>
      <c r="H17" s="57" t="s">
        <v>45</v>
      </c>
      <c r="I17" s="57" t="s">
        <v>46</v>
      </c>
      <c r="J17" s="57" t="s">
        <v>47</v>
      </c>
      <c r="K17" s="10" t="s">
        <v>48</v>
      </c>
      <c r="L17" s="10" t="s">
        <v>49</v>
      </c>
      <c r="M17" s="10" t="s">
        <v>50</v>
      </c>
      <c r="N17" s="10" t="s">
        <v>51</v>
      </c>
      <c r="O17" s="10" t="s">
        <v>52</v>
      </c>
      <c r="P17" s="10" t="s">
        <v>53</v>
      </c>
    </row>
    <row r="18" spans="1:16" ht="52.8">
      <c r="A18" s="58"/>
      <c r="B18" s="59" t="s">
        <v>189</v>
      </c>
      <c r="C18" s="59" t="s">
        <v>190</v>
      </c>
      <c r="D18" s="59" t="s">
        <v>191</v>
      </c>
      <c r="E18" s="59" t="s">
        <v>192</v>
      </c>
      <c r="F18" s="59" t="s">
        <v>193</v>
      </c>
      <c r="G18" s="59" t="s">
        <v>194</v>
      </c>
      <c r="H18" s="59" t="s">
        <v>195</v>
      </c>
      <c r="I18" s="59" t="s">
        <v>196</v>
      </c>
      <c r="J18" s="59" t="s">
        <v>197</v>
      </c>
      <c r="K18" s="59" t="s">
        <v>198</v>
      </c>
      <c r="L18" s="59" t="s">
        <v>199</v>
      </c>
      <c r="M18" s="59" t="s">
        <v>200</v>
      </c>
      <c r="N18" s="59" t="s">
        <v>201</v>
      </c>
      <c r="O18" s="59" t="s">
        <v>202</v>
      </c>
      <c r="P18" s="59" t="s">
        <v>203</v>
      </c>
    </row>
    <row r="19" spans="1:16" ht="92.4">
      <c r="A19" s="60">
        <v>1</v>
      </c>
      <c r="B19" s="61" t="s">
        <v>204</v>
      </c>
      <c r="C19" s="61" t="s">
        <v>205</v>
      </c>
      <c r="D19" s="61" t="s">
        <v>206</v>
      </c>
      <c r="E19" s="61" t="s">
        <v>207</v>
      </c>
      <c r="F19" s="61" t="s">
        <v>208</v>
      </c>
      <c r="G19" s="61" t="s">
        <v>209</v>
      </c>
      <c r="H19" s="61" t="s">
        <v>210</v>
      </c>
      <c r="I19" s="61" t="s">
        <v>211</v>
      </c>
      <c r="J19" s="61" t="s">
        <v>212</v>
      </c>
      <c r="K19" s="62">
        <v>0.2</v>
      </c>
      <c r="L19" s="61" t="s">
        <v>213</v>
      </c>
      <c r="M19" s="63">
        <v>9</v>
      </c>
      <c r="N19" s="63">
        <v>9</v>
      </c>
      <c r="O19" s="63">
        <v>10</v>
      </c>
      <c r="P19" s="64">
        <f>AVERAGE(M19:O19)</f>
        <v>9.3333333333333339</v>
      </c>
    </row>
    <row r="20" spans="1:16" ht="118.8">
      <c r="A20" s="65">
        <v>2</v>
      </c>
      <c r="B20" s="66" t="s">
        <v>214</v>
      </c>
      <c r="C20" s="66" t="s">
        <v>215</v>
      </c>
      <c r="D20" s="66" t="s">
        <v>216</v>
      </c>
      <c r="E20" s="66" t="s">
        <v>217</v>
      </c>
      <c r="F20" s="66" t="s">
        <v>218</v>
      </c>
      <c r="G20" s="66" t="s">
        <v>219</v>
      </c>
      <c r="H20" s="66" t="s">
        <v>220</v>
      </c>
      <c r="I20" s="66" t="s">
        <v>221</v>
      </c>
      <c r="J20" s="66" t="s">
        <v>222</v>
      </c>
      <c r="K20" s="67">
        <v>0.5</v>
      </c>
      <c r="L20" s="66" t="s">
        <v>223</v>
      </c>
      <c r="M20" s="68">
        <v>8</v>
      </c>
      <c r="N20" s="68">
        <v>8</v>
      </c>
      <c r="O20" s="68">
        <v>9</v>
      </c>
      <c r="P20" s="69">
        <v>8.33</v>
      </c>
    </row>
    <row r="21" spans="1:16" ht="118.8">
      <c r="A21" s="65">
        <v>3</v>
      </c>
      <c r="B21" s="70" t="s">
        <v>224</v>
      </c>
      <c r="C21" s="66" t="s">
        <v>225</v>
      </c>
      <c r="D21" s="66" t="s">
        <v>226</v>
      </c>
      <c r="E21" s="66" t="s">
        <v>227</v>
      </c>
      <c r="F21" s="66" t="s">
        <v>228</v>
      </c>
      <c r="G21" s="66" t="s">
        <v>229</v>
      </c>
      <c r="H21" s="66" t="s">
        <v>230</v>
      </c>
      <c r="I21" s="66" t="s">
        <v>231</v>
      </c>
      <c r="J21" s="66" t="s">
        <v>232</v>
      </c>
      <c r="K21" s="67">
        <v>0.3</v>
      </c>
      <c r="L21" s="66" t="s">
        <v>233</v>
      </c>
      <c r="M21" s="68">
        <v>9</v>
      </c>
      <c r="N21" s="68">
        <v>8</v>
      </c>
      <c r="O21" s="68">
        <v>8</v>
      </c>
      <c r="P21" s="69">
        <v>8.33</v>
      </c>
    </row>
    <row r="22" spans="1:16" ht="145.19999999999999">
      <c r="A22" s="65">
        <v>4</v>
      </c>
      <c r="B22" s="70" t="s">
        <v>234</v>
      </c>
      <c r="C22" s="66" t="s">
        <v>235</v>
      </c>
      <c r="D22" s="66" t="s">
        <v>236</v>
      </c>
      <c r="E22" s="66" t="s">
        <v>237</v>
      </c>
      <c r="F22" s="66" t="s">
        <v>238</v>
      </c>
      <c r="G22" s="66" t="s">
        <v>239</v>
      </c>
      <c r="H22" s="66" t="s">
        <v>240</v>
      </c>
      <c r="I22" s="66" t="s">
        <v>241</v>
      </c>
      <c r="J22" s="66" t="s">
        <v>222</v>
      </c>
      <c r="K22" s="67">
        <v>0.25</v>
      </c>
      <c r="L22" s="66" t="s">
        <v>242</v>
      </c>
      <c r="M22" s="68">
        <v>7</v>
      </c>
      <c r="N22" s="68">
        <v>7</v>
      </c>
      <c r="O22" s="68">
        <v>5</v>
      </c>
      <c r="P22" s="69">
        <v>6.33</v>
      </c>
    </row>
    <row r="23" spans="1:16" ht="145.19999999999999">
      <c r="A23" s="65">
        <v>5</v>
      </c>
      <c r="B23" s="70" t="s">
        <v>243</v>
      </c>
      <c r="C23" s="66" t="s">
        <v>244</v>
      </c>
      <c r="D23" s="66" t="s">
        <v>245</v>
      </c>
      <c r="E23" s="66" t="s">
        <v>246</v>
      </c>
      <c r="F23" s="66" t="s">
        <v>247</v>
      </c>
      <c r="G23" s="66" t="s">
        <v>248</v>
      </c>
      <c r="H23" s="66" t="s">
        <v>249</v>
      </c>
      <c r="I23" s="66" t="s">
        <v>250</v>
      </c>
      <c r="J23" s="66" t="s">
        <v>251</v>
      </c>
      <c r="K23" s="67">
        <v>0.5</v>
      </c>
      <c r="L23" s="66" t="s">
        <v>252</v>
      </c>
      <c r="M23" s="68">
        <v>5</v>
      </c>
      <c r="N23" s="68">
        <v>8</v>
      </c>
      <c r="O23" s="68">
        <v>9</v>
      </c>
      <c r="P23" s="69">
        <v>7.33</v>
      </c>
    </row>
  </sheetData>
  <mergeCells count="13">
    <mergeCell ref="A11:F11"/>
    <mergeCell ref="A10:F10"/>
    <mergeCell ref="A13:F13"/>
    <mergeCell ref="A14:F14"/>
    <mergeCell ref="A1:P2"/>
    <mergeCell ref="A5:F5"/>
    <mergeCell ref="A9:F9"/>
    <mergeCell ref="A8:F8"/>
    <mergeCell ref="A6:F6"/>
    <mergeCell ref="A12:F12"/>
    <mergeCell ref="A4:F4"/>
    <mergeCell ref="A3:F3"/>
    <mergeCell ref="A7:F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34"/>
  <sheetViews>
    <sheetView showGridLines="0" topLeftCell="A12" workbookViewId="0">
      <selection sqref="A1:B1"/>
    </sheetView>
  </sheetViews>
  <sheetFormatPr defaultColWidth="12.6640625" defaultRowHeight="15.75" customHeight="1"/>
  <cols>
    <col min="1" max="1" width="11.6640625" customWidth="1"/>
    <col min="2" max="2" width="78.109375" customWidth="1"/>
  </cols>
  <sheetData>
    <row r="1" spans="1:2" ht="37.799999999999997">
      <c r="A1" s="189" t="s">
        <v>15</v>
      </c>
      <c r="B1" s="159"/>
    </row>
    <row r="2" spans="1:2" ht="44.25" customHeight="1">
      <c r="A2" s="185" t="s">
        <v>253</v>
      </c>
      <c r="B2" s="159"/>
    </row>
    <row r="3" spans="1:2" ht="77.25" customHeight="1">
      <c r="A3" s="184" t="s">
        <v>254</v>
      </c>
      <c r="B3" s="159"/>
    </row>
    <row r="4" spans="1:2" ht="66" customHeight="1">
      <c r="A4" s="184" t="s">
        <v>255</v>
      </c>
      <c r="B4" s="159"/>
    </row>
    <row r="5" spans="1:2" ht="43.5" customHeight="1">
      <c r="A5" s="183" t="s">
        <v>256</v>
      </c>
      <c r="B5" s="162"/>
    </row>
    <row r="6" spans="1:2" ht="21.75" customHeight="1">
      <c r="A6" s="191" t="str">
        <f>HYPERLINK("https://slack.com/get-started#/ ","Instructions: Signup for Slack at https://slack.com/get-started#/")</f>
        <v>Instructions: Signup for Slack at https://slack.com/get-started#/</v>
      </c>
      <c r="B6" s="162"/>
    </row>
    <row r="7" spans="1:2" ht="13.2">
      <c r="A7" s="187" t="s">
        <v>257</v>
      </c>
      <c r="B7" s="159"/>
    </row>
    <row r="8" spans="1:2" ht="13.2">
      <c r="A8" s="190" t="s">
        <v>258</v>
      </c>
      <c r="B8" s="171"/>
    </row>
    <row r="9" spans="1:2" ht="13.2">
      <c r="A9" s="184" t="s">
        <v>259</v>
      </c>
      <c r="B9" s="159"/>
    </row>
    <row r="10" spans="1:2" ht="13.2">
      <c r="A10" s="184" t="s">
        <v>260</v>
      </c>
      <c r="B10" s="159"/>
    </row>
    <row r="11" spans="1:2" ht="13.2">
      <c r="A11" s="184" t="s">
        <v>261</v>
      </c>
      <c r="B11" s="159"/>
    </row>
    <row r="12" spans="1:2" ht="13.2">
      <c r="A12" s="188" t="s">
        <v>262</v>
      </c>
      <c r="B12" s="171"/>
    </row>
    <row r="13" spans="1:2" ht="13.2">
      <c r="A13" s="188" t="s">
        <v>263</v>
      </c>
      <c r="B13" s="171"/>
    </row>
    <row r="14" spans="1:2" ht="13.2">
      <c r="A14" s="188" t="s">
        <v>264</v>
      </c>
      <c r="B14" s="171"/>
    </row>
    <row r="15" spans="1:2" ht="13.2">
      <c r="A15" s="10" t="s">
        <v>38</v>
      </c>
      <c r="B15" s="10" t="s">
        <v>187</v>
      </c>
    </row>
    <row r="16" spans="1:2" ht="13.2">
      <c r="A16" s="16" t="s">
        <v>37</v>
      </c>
      <c r="B16" s="72"/>
    </row>
    <row r="17" spans="1:2" ht="13.2">
      <c r="A17" s="186" t="s">
        <v>265</v>
      </c>
      <c r="B17" s="159"/>
    </row>
    <row r="18" spans="1:2" ht="13.2">
      <c r="A18" s="73">
        <v>1</v>
      </c>
      <c r="B18" s="74" t="s">
        <v>266</v>
      </c>
    </row>
    <row r="19" spans="1:2" ht="13.2">
      <c r="A19" s="73">
        <v>2</v>
      </c>
      <c r="B19" s="75" t="s">
        <v>267</v>
      </c>
    </row>
    <row r="20" spans="1:2" ht="13.2">
      <c r="A20" s="73">
        <v>3</v>
      </c>
      <c r="B20" s="75" t="s">
        <v>268</v>
      </c>
    </row>
    <row r="21" spans="1:2" ht="13.2">
      <c r="A21" s="73">
        <v>4</v>
      </c>
      <c r="B21" s="75" t="s">
        <v>269</v>
      </c>
    </row>
    <row r="22" spans="1:2" ht="13.2">
      <c r="A22" s="73">
        <v>5</v>
      </c>
      <c r="B22" s="75" t="s">
        <v>270</v>
      </c>
    </row>
    <row r="23" spans="1:2" ht="13.2">
      <c r="A23" s="186" t="s">
        <v>271</v>
      </c>
      <c r="B23" s="159"/>
    </row>
    <row r="24" spans="1:2" ht="13.2">
      <c r="A24" s="73">
        <v>1</v>
      </c>
      <c r="B24" s="74" t="s">
        <v>272</v>
      </c>
    </row>
    <row r="25" spans="1:2" ht="13.2">
      <c r="A25" s="73">
        <v>2</v>
      </c>
      <c r="B25" s="75" t="s">
        <v>273</v>
      </c>
    </row>
    <row r="26" spans="1:2" ht="13.2">
      <c r="A26" s="73">
        <v>3</v>
      </c>
      <c r="B26" s="75" t="s">
        <v>274</v>
      </c>
    </row>
    <row r="27" spans="1:2" ht="13.2">
      <c r="A27" s="73">
        <v>4</v>
      </c>
      <c r="B27" s="75" t="s">
        <v>275</v>
      </c>
    </row>
    <row r="28" spans="1:2" ht="13.2">
      <c r="A28" s="73">
        <v>5</v>
      </c>
      <c r="B28" s="75" t="s">
        <v>276</v>
      </c>
    </row>
    <row r="29" spans="1:2" ht="13.2">
      <c r="A29" s="186" t="s">
        <v>277</v>
      </c>
      <c r="B29" s="159"/>
    </row>
    <row r="30" spans="1:2" ht="13.2">
      <c r="A30" s="73">
        <v>1</v>
      </c>
      <c r="B30" s="74" t="s">
        <v>278</v>
      </c>
    </row>
    <row r="31" spans="1:2" ht="13.2">
      <c r="A31" s="73">
        <v>2</v>
      </c>
      <c r="B31" s="75" t="s">
        <v>279</v>
      </c>
    </row>
    <row r="32" spans="1:2" ht="13.2">
      <c r="A32" s="73">
        <v>3</v>
      </c>
      <c r="B32" s="75" t="s">
        <v>280</v>
      </c>
    </row>
    <row r="33" spans="1:2" ht="13.2">
      <c r="A33" s="73">
        <v>4</v>
      </c>
      <c r="B33" s="75" t="s">
        <v>281</v>
      </c>
    </row>
    <row r="34" spans="1:2" ht="13.2">
      <c r="A34" s="73">
        <v>5</v>
      </c>
      <c r="B34" s="75" t="s">
        <v>282</v>
      </c>
    </row>
  </sheetData>
  <mergeCells count="17">
    <mergeCell ref="A1:B1"/>
    <mergeCell ref="A23:B23"/>
    <mergeCell ref="A9:B9"/>
    <mergeCell ref="A17:B17"/>
    <mergeCell ref="A8:B8"/>
    <mergeCell ref="A3:B3"/>
    <mergeCell ref="A6:B6"/>
    <mergeCell ref="A12:B12"/>
    <mergeCell ref="A4:B4"/>
    <mergeCell ref="A2:B2"/>
    <mergeCell ref="A29:B29"/>
    <mergeCell ref="A7:B7"/>
    <mergeCell ref="A11:B11"/>
    <mergeCell ref="A10:B10"/>
    <mergeCell ref="A5:B5"/>
    <mergeCell ref="A13:B13"/>
    <mergeCell ref="A14:B1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65"/>
  <sheetViews>
    <sheetView showGridLines="0" topLeftCell="I53" zoomScale="104" workbookViewId="0">
      <selection activeCell="P44" sqref="P44"/>
    </sheetView>
  </sheetViews>
  <sheetFormatPr defaultColWidth="12.6640625" defaultRowHeight="15.75" customHeight="1"/>
  <cols>
    <col min="1" max="1" width="10.21875" customWidth="1"/>
    <col min="2" max="2" width="14.88671875" customWidth="1"/>
    <col min="3" max="4" width="15" customWidth="1"/>
    <col min="5" max="5" width="10.21875" customWidth="1"/>
    <col min="18" max="18" width="14.6640625" customWidth="1"/>
    <col min="19" max="19" width="17.33203125" customWidth="1"/>
  </cols>
  <sheetData>
    <row r="1" spans="1:19" ht="15.75" customHeight="1">
      <c r="A1" s="204" t="s">
        <v>17</v>
      </c>
      <c r="B1" s="158"/>
      <c r="C1" s="158"/>
      <c r="D1" s="158"/>
      <c r="E1" s="158"/>
      <c r="F1" s="158"/>
      <c r="G1" s="158"/>
      <c r="H1" s="158"/>
      <c r="I1" s="158"/>
      <c r="J1" s="158"/>
      <c r="K1" s="158"/>
      <c r="L1" s="158"/>
      <c r="M1" s="158"/>
      <c r="N1" s="158"/>
      <c r="O1" s="158"/>
      <c r="P1" s="158"/>
      <c r="Q1" s="158"/>
      <c r="R1" s="158"/>
      <c r="S1" s="159"/>
    </row>
    <row r="2" spans="1:19">
      <c r="A2" s="185" t="s">
        <v>283</v>
      </c>
      <c r="B2" s="158"/>
      <c r="C2" s="158"/>
      <c r="D2" s="158"/>
      <c r="E2" s="158"/>
      <c r="F2" s="158"/>
      <c r="G2" s="158"/>
      <c r="H2" s="158"/>
      <c r="I2" s="159"/>
      <c r="J2" s="76"/>
      <c r="K2" s="76"/>
      <c r="L2" s="76"/>
      <c r="M2" s="76"/>
      <c r="N2" s="76"/>
      <c r="O2" s="77"/>
      <c r="Q2" s="78"/>
      <c r="R2" s="78"/>
    </row>
    <row r="3" spans="1:19">
      <c r="A3" s="184" t="s">
        <v>284</v>
      </c>
      <c r="B3" s="158"/>
      <c r="C3" s="158"/>
      <c r="D3" s="158"/>
      <c r="E3" s="158"/>
      <c r="F3" s="158"/>
      <c r="G3" s="158"/>
      <c r="H3" s="158"/>
      <c r="I3" s="159"/>
      <c r="J3" s="76"/>
      <c r="K3" s="76"/>
      <c r="L3" s="76"/>
      <c r="M3" s="76"/>
      <c r="N3" s="76"/>
      <c r="O3" s="77"/>
      <c r="Q3" s="78"/>
      <c r="R3" s="78"/>
    </row>
    <row r="4" spans="1:19">
      <c r="A4" s="167" t="s">
        <v>285</v>
      </c>
      <c r="B4" s="164"/>
      <c r="C4" s="164"/>
      <c r="D4" s="164"/>
      <c r="E4" s="164"/>
      <c r="F4" s="164"/>
      <c r="G4" s="164"/>
      <c r="H4" s="164"/>
      <c r="I4" s="165"/>
      <c r="J4" s="76"/>
      <c r="K4" s="76"/>
      <c r="L4" s="76"/>
      <c r="M4" s="76"/>
      <c r="N4" s="76"/>
      <c r="O4" s="77"/>
      <c r="Q4" s="78"/>
      <c r="R4" s="78"/>
    </row>
    <row r="5" spans="1:19">
      <c r="A5" s="167" t="s">
        <v>286</v>
      </c>
      <c r="B5" s="164"/>
      <c r="C5" s="164"/>
      <c r="D5" s="164"/>
      <c r="E5" s="164"/>
      <c r="F5" s="164"/>
      <c r="G5" s="164"/>
      <c r="H5" s="164"/>
      <c r="I5" s="165"/>
      <c r="J5" s="76"/>
      <c r="K5" s="76"/>
      <c r="L5" s="76"/>
      <c r="M5" s="76"/>
      <c r="N5" s="76"/>
      <c r="O5" s="77"/>
      <c r="Q5" s="78"/>
      <c r="R5" s="78"/>
    </row>
    <row r="6" spans="1:19">
      <c r="A6" s="175" t="s">
        <v>287</v>
      </c>
      <c r="B6" s="164"/>
      <c r="C6" s="164"/>
      <c r="D6" s="164"/>
      <c r="E6" s="164"/>
      <c r="F6" s="164"/>
      <c r="G6" s="164"/>
      <c r="H6" s="164"/>
      <c r="I6" s="165"/>
      <c r="J6" s="76"/>
      <c r="K6" s="76"/>
      <c r="L6" s="76"/>
      <c r="M6" s="76"/>
      <c r="N6" s="76"/>
      <c r="O6" s="77"/>
      <c r="Q6" s="78"/>
      <c r="R6" s="78"/>
    </row>
    <row r="7" spans="1:19" ht="13.2">
      <c r="A7" s="192" t="s">
        <v>288</v>
      </c>
      <c r="B7" s="161"/>
      <c r="C7" s="161"/>
      <c r="D7" s="161"/>
      <c r="E7" s="161"/>
      <c r="F7" s="161"/>
      <c r="G7" s="161"/>
      <c r="H7" s="161"/>
      <c r="I7" s="162"/>
      <c r="J7" s="79"/>
      <c r="K7" s="79"/>
      <c r="L7" s="79"/>
      <c r="M7" s="79"/>
      <c r="N7" s="79"/>
      <c r="O7" s="77"/>
      <c r="Q7" s="78"/>
      <c r="R7" s="78"/>
    </row>
    <row r="8" spans="1:19">
      <c r="A8" s="203" t="s">
        <v>289</v>
      </c>
      <c r="B8" s="170"/>
      <c r="C8" s="170"/>
      <c r="D8" s="170"/>
      <c r="E8" s="170"/>
      <c r="F8" s="170"/>
      <c r="G8" s="170"/>
      <c r="H8" s="170"/>
      <c r="I8" s="171"/>
      <c r="J8" s="79"/>
      <c r="K8" s="79"/>
      <c r="L8" s="79"/>
      <c r="M8" s="79"/>
      <c r="N8" s="79"/>
      <c r="O8" s="77"/>
      <c r="Q8" s="78"/>
      <c r="R8" s="78"/>
    </row>
    <row r="9" spans="1:19">
      <c r="A9" s="203" t="s">
        <v>290</v>
      </c>
      <c r="B9" s="170"/>
      <c r="C9" s="170"/>
      <c r="D9" s="170"/>
      <c r="E9" s="170"/>
      <c r="F9" s="170"/>
      <c r="G9" s="170"/>
      <c r="H9" s="170"/>
      <c r="I9" s="171"/>
      <c r="J9" s="79"/>
      <c r="K9" s="79"/>
      <c r="L9" s="79"/>
      <c r="M9" s="79"/>
      <c r="N9" s="79"/>
      <c r="O9" s="77"/>
      <c r="Q9" s="78"/>
      <c r="R9" s="78"/>
    </row>
    <row r="10" spans="1:19">
      <c r="A10" s="203" t="s">
        <v>291</v>
      </c>
      <c r="B10" s="170"/>
      <c r="C10" s="170"/>
      <c r="D10" s="170"/>
      <c r="E10" s="170"/>
      <c r="F10" s="170"/>
      <c r="G10" s="170"/>
      <c r="H10" s="170"/>
      <c r="I10" s="171"/>
      <c r="J10" s="79"/>
      <c r="K10" s="79"/>
      <c r="L10" s="79"/>
      <c r="M10" s="79"/>
      <c r="N10" s="79"/>
      <c r="O10" s="77"/>
      <c r="Q10" s="78"/>
      <c r="R10" s="78"/>
    </row>
    <row r="11" spans="1:19">
      <c r="A11" s="206" t="s">
        <v>292</v>
      </c>
      <c r="B11" s="164"/>
      <c r="C11" s="164"/>
      <c r="D11" s="164"/>
      <c r="E11" s="164"/>
      <c r="F11" s="164"/>
      <c r="G11" s="164"/>
      <c r="H11" s="164"/>
      <c r="I11" s="165"/>
      <c r="J11" s="79"/>
      <c r="K11" s="79"/>
      <c r="L11" s="79"/>
      <c r="M11" s="79"/>
      <c r="N11" s="79"/>
      <c r="O11" s="77"/>
      <c r="Q11" s="78"/>
      <c r="R11" s="78"/>
    </row>
    <row r="12" spans="1:19">
      <c r="A12" s="202" t="s">
        <v>37</v>
      </c>
      <c r="B12" s="170"/>
      <c r="C12" s="170"/>
      <c r="D12" s="170"/>
      <c r="E12" s="170"/>
      <c r="F12" s="170"/>
      <c r="G12" s="170"/>
      <c r="H12" s="170"/>
      <c r="I12" s="170"/>
      <c r="J12" s="79"/>
      <c r="K12" s="79"/>
      <c r="L12" s="79"/>
      <c r="M12" s="79"/>
      <c r="N12" s="79"/>
      <c r="O12" s="77"/>
      <c r="Q12" s="78"/>
      <c r="R12" s="78"/>
    </row>
    <row r="13" spans="1:19">
      <c r="A13" s="80"/>
      <c r="B13" s="80"/>
      <c r="C13" s="80"/>
      <c r="D13" s="80"/>
      <c r="E13" s="80"/>
      <c r="F13" s="80"/>
      <c r="G13" s="80"/>
      <c r="H13" s="80"/>
      <c r="I13" s="80"/>
      <c r="J13" s="80"/>
      <c r="K13" s="80"/>
      <c r="L13" s="80"/>
      <c r="M13" s="81"/>
      <c r="N13" s="81"/>
      <c r="O13" s="81"/>
      <c r="P13" s="82"/>
      <c r="Q13" s="83"/>
      <c r="R13" s="83"/>
      <c r="S13" s="82"/>
    </row>
    <row r="14" spans="1:19">
      <c r="A14" s="200" t="s">
        <v>293</v>
      </c>
      <c r="B14" s="158"/>
      <c r="C14" s="158"/>
      <c r="D14" s="158"/>
      <c r="E14" s="158"/>
      <c r="F14" s="159"/>
      <c r="G14" s="84"/>
      <c r="H14" s="193"/>
      <c r="I14" s="161"/>
      <c r="J14" s="161"/>
      <c r="K14" s="162"/>
      <c r="L14" s="84"/>
      <c r="M14" s="77"/>
      <c r="N14" s="77"/>
      <c r="O14" s="77"/>
      <c r="Q14" s="78"/>
      <c r="R14" s="78"/>
    </row>
    <row r="15" spans="1:19" ht="13.2">
      <c r="A15" s="205" t="s">
        <v>294</v>
      </c>
      <c r="B15" s="158"/>
      <c r="C15" s="158"/>
      <c r="D15" s="158"/>
      <c r="E15" s="158"/>
      <c r="F15" s="159"/>
      <c r="G15" s="84"/>
      <c r="H15" s="194"/>
      <c r="I15" s="170"/>
      <c r="J15" s="170"/>
      <c r="K15" s="171"/>
      <c r="L15" s="84"/>
      <c r="M15" s="201" t="s">
        <v>469</v>
      </c>
      <c r="N15" s="161"/>
      <c r="O15" s="162"/>
      <c r="Q15" s="157" t="s">
        <v>295</v>
      </c>
      <c r="R15" s="162"/>
      <c r="S15" s="199" t="s">
        <v>489</v>
      </c>
    </row>
    <row r="16" spans="1:19">
      <c r="A16" s="85" t="s">
        <v>296</v>
      </c>
      <c r="B16" s="198" t="s">
        <v>297</v>
      </c>
      <c r="C16" s="158"/>
      <c r="D16" s="158"/>
      <c r="E16" s="158"/>
      <c r="F16" s="159"/>
      <c r="G16" s="86"/>
      <c r="H16" s="194"/>
      <c r="I16" s="170"/>
      <c r="J16" s="170"/>
      <c r="K16" s="171"/>
      <c r="L16" s="86"/>
      <c r="M16" s="194"/>
      <c r="N16" s="170"/>
      <c r="O16" s="171"/>
      <c r="Q16" s="194"/>
      <c r="R16" s="171"/>
      <c r="S16" s="196"/>
    </row>
    <row r="17" spans="1:19">
      <c r="A17" s="87" t="s">
        <v>298</v>
      </c>
      <c r="B17" s="88" t="s">
        <v>299</v>
      </c>
      <c r="C17" s="88" t="s">
        <v>300</v>
      </c>
      <c r="D17" s="88" t="s">
        <v>301</v>
      </c>
      <c r="E17" s="88" t="s">
        <v>302</v>
      </c>
      <c r="F17" s="88" t="s">
        <v>303</v>
      </c>
      <c r="G17" s="86"/>
      <c r="H17" s="194"/>
      <c r="I17" s="170"/>
      <c r="J17" s="170"/>
      <c r="K17" s="171"/>
      <c r="L17" s="86"/>
      <c r="M17" s="194"/>
      <c r="N17" s="170"/>
      <c r="O17" s="171"/>
      <c r="Q17" s="163"/>
      <c r="R17" s="165"/>
      <c r="S17" s="197"/>
    </row>
    <row r="18" spans="1:19">
      <c r="A18" s="89">
        <v>100</v>
      </c>
      <c r="B18" s="90">
        <f>997-200</f>
        <v>797</v>
      </c>
      <c r="C18" s="90">
        <f>139+0</f>
        <v>139</v>
      </c>
      <c r="D18" s="91">
        <f>358</f>
        <v>358</v>
      </c>
      <c r="E18" s="92">
        <f t="shared" ref="E18:E24" si="0">B18+C18</f>
        <v>936</v>
      </c>
      <c r="F18" s="93">
        <v>0.38</v>
      </c>
      <c r="G18" s="94"/>
      <c r="H18" s="194"/>
      <c r="I18" s="170"/>
      <c r="J18" s="170"/>
      <c r="K18" s="171"/>
      <c r="L18" s="94"/>
      <c r="M18" s="194"/>
      <c r="N18" s="170"/>
      <c r="O18" s="171"/>
      <c r="Q18" s="95"/>
      <c r="R18" s="78"/>
      <c r="S18" s="96"/>
    </row>
    <row r="19" spans="1:19" ht="13.2">
      <c r="A19" s="97">
        <v>500</v>
      </c>
      <c r="B19" s="22">
        <f>620-200</f>
        <v>420</v>
      </c>
      <c r="C19" s="22">
        <v>146</v>
      </c>
      <c r="D19" s="22">
        <v>282</v>
      </c>
      <c r="E19" s="98">
        <f t="shared" si="0"/>
        <v>566</v>
      </c>
      <c r="F19" s="99">
        <v>0.49819999999999998</v>
      </c>
      <c r="G19" s="100"/>
      <c r="H19" s="194"/>
      <c r="I19" s="170"/>
      <c r="J19" s="170"/>
      <c r="K19" s="171"/>
      <c r="L19" s="100"/>
      <c r="M19" s="194"/>
      <c r="N19" s="170"/>
      <c r="O19" s="171"/>
      <c r="Q19" s="157" t="s">
        <v>304</v>
      </c>
      <c r="R19" s="199" t="s">
        <v>472</v>
      </c>
      <c r="S19" s="162"/>
    </row>
    <row r="20" spans="1:19">
      <c r="A20" s="89">
        <v>1000</v>
      </c>
      <c r="B20" s="90">
        <f>565-200</f>
        <v>365</v>
      </c>
      <c r="C20" s="90">
        <v>158</v>
      </c>
      <c r="D20" s="90">
        <v>249</v>
      </c>
      <c r="E20" s="92">
        <f t="shared" si="0"/>
        <v>523</v>
      </c>
      <c r="F20" s="99">
        <v>0.47610000000000002</v>
      </c>
      <c r="G20" s="100"/>
      <c r="H20" s="194"/>
      <c r="I20" s="170"/>
      <c r="J20" s="170"/>
      <c r="K20" s="171"/>
      <c r="L20" s="100"/>
      <c r="M20" s="194"/>
      <c r="N20" s="170"/>
      <c r="O20" s="171"/>
      <c r="Q20" s="196"/>
      <c r="R20" s="194"/>
      <c r="S20" s="171"/>
    </row>
    <row r="21" spans="1:19">
      <c r="A21" s="97">
        <v>2000</v>
      </c>
      <c r="B21" s="22">
        <f>432-200</f>
        <v>232</v>
      </c>
      <c r="C21" s="22">
        <v>171</v>
      </c>
      <c r="D21" s="22">
        <v>222</v>
      </c>
      <c r="E21" s="98">
        <f t="shared" si="0"/>
        <v>403</v>
      </c>
      <c r="F21" s="99">
        <v>0.55089999999999995</v>
      </c>
      <c r="G21" s="100"/>
      <c r="H21" s="194"/>
      <c r="I21" s="170"/>
      <c r="J21" s="170"/>
      <c r="K21" s="171"/>
      <c r="L21" s="100"/>
      <c r="M21" s="194"/>
      <c r="N21" s="170"/>
      <c r="O21" s="171"/>
      <c r="Q21" s="196"/>
      <c r="R21" s="194"/>
      <c r="S21" s="171"/>
    </row>
    <row r="22" spans="1:19">
      <c r="A22" s="89">
        <v>5000</v>
      </c>
      <c r="B22" s="90">
        <v>185</v>
      </c>
      <c r="C22" s="90">
        <v>190</v>
      </c>
      <c r="D22" s="90">
        <v>210</v>
      </c>
      <c r="E22" s="92">
        <f t="shared" si="0"/>
        <v>375</v>
      </c>
      <c r="F22" s="99">
        <v>0.56000000000000005</v>
      </c>
      <c r="G22" s="100"/>
      <c r="H22" s="194"/>
      <c r="I22" s="170"/>
      <c r="J22" s="170"/>
      <c r="K22" s="171"/>
      <c r="L22" s="100"/>
      <c r="M22" s="194"/>
      <c r="N22" s="170"/>
      <c r="O22" s="171"/>
      <c r="P22" s="101"/>
      <c r="Q22" s="196"/>
      <c r="R22" s="194"/>
      <c r="S22" s="171"/>
    </row>
    <row r="23" spans="1:19">
      <c r="A23" s="97">
        <v>10000</v>
      </c>
      <c r="B23" s="22">
        <v>150</v>
      </c>
      <c r="C23" s="22">
        <v>200</v>
      </c>
      <c r="D23" s="22">
        <v>200</v>
      </c>
      <c r="E23" s="98">
        <f t="shared" si="0"/>
        <v>350</v>
      </c>
      <c r="F23" s="99">
        <v>0.57140000000000002</v>
      </c>
      <c r="G23" s="100"/>
      <c r="H23" s="194"/>
      <c r="I23" s="170"/>
      <c r="J23" s="170"/>
      <c r="K23" s="171"/>
      <c r="L23" s="100"/>
      <c r="M23" s="194"/>
      <c r="N23" s="170"/>
      <c r="O23" s="171"/>
      <c r="P23" s="101"/>
      <c r="Q23" s="196"/>
      <c r="R23" s="194"/>
      <c r="S23" s="171"/>
    </row>
    <row r="24" spans="1:19">
      <c r="A24" s="89">
        <v>20000</v>
      </c>
      <c r="B24" s="90">
        <v>120</v>
      </c>
      <c r="C24" s="90">
        <v>210</v>
      </c>
      <c r="D24" s="90">
        <v>190</v>
      </c>
      <c r="E24" s="92">
        <f t="shared" si="0"/>
        <v>330</v>
      </c>
      <c r="F24" s="99">
        <v>0.57579999999999998</v>
      </c>
      <c r="G24" s="100"/>
      <c r="H24" s="163"/>
      <c r="I24" s="164"/>
      <c r="J24" s="164"/>
      <c r="K24" s="165"/>
      <c r="L24" s="100"/>
      <c r="M24" s="163"/>
      <c r="N24" s="164"/>
      <c r="O24" s="165"/>
      <c r="P24" s="101"/>
      <c r="Q24" s="197"/>
      <c r="R24" s="163"/>
      <c r="S24" s="165"/>
    </row>
    <row r="25" spans="1:19">
      <c r="A25" s="80"/>
      <c r="B25" s="80"/>
      <c r="C25" s="80"/>
      <c r="D25" s="80"/>
      <c r="E25" s="80"/>
      <c r="F25" s="80"/>
      <c r="G25" s="80"/>
      <c r="H25" s="80"/>
      <c r="I25" s="80"/>
      <c r="J25" s="80"/>
      <c r="K25" s="80"/>
      <c r="L25" s="80"/>
      <c r="M25" s="81"/>
      <c r="N25" s="81"/>
      <c r="O25" s="81"/>
      <c r="P25" s="82"/>
      <c r="Q25" s="83"/>
      <c r="R25" s="83"/>
      <c r="S25" s="82"/>
    </row>
    <row r="26" spans="1:19">
      <c r="A26" s="200" t="s">
        <v>305</v>
      </c>
      <c r="B26" s="158"/>
      <c r="C26" s="158"/>
      <c r="D26" s="158"/>
      <c r="E26" s="158"/>
      <c r="F26" s="159"/>
      <c r="H26" s="193"/>
      <c r="I26" s="161"/>
      <c r="J26" s="161"/>
      <c r="K26" s="162"/>
      <c r="M26" s="77"/>
      <c r="N26" s="77"/>
      <c r="O26" s="77"/>
      <c r="Q26" s="78"/>
      <c r="R26" s="78"/>
      <c r="S26" s="78"/>
    </row>
    <row r="27" spans="1:19" ht="13.2">
      <c r="A27" s="200" t="s">
        <v>306</v>
      </c>
      <c r="B27" s="158"/>
      <c r="C27" s="158"/>
      <c r="D27" s="158"/>
      <c r="E27" s="158"/>
      <c r="F27" s="159"/>
      <c r="H27" s="194"/>
      <c r="I27" s="170"/>
      <c r="J27" s="170"/>
      <c r="K27" s="171"/>
      <c r="M27" s="201" t="s">
        <v>470</v>
      </c>
      <c r="N27" s="161"/>
      <c r="O27" s="162"/>
      <c r="Q27" s="157" t="s">
        <v>295</v>
      </c>
      <c r="R27" s="162"/>
      <c r="S27" s="199" t="s">
        <v>467</v>
      </c>
    </row>
    <row r="28" spans="1:19">
      <c r="A28" s="4" t="s">
        <v>307</v>
      </c>
      <c r="B28" s="200" t="s">
        <v>297</v>
      </c>
      <c r="C28" s="158"/>
      <c r="D28" s="158"/>
      <c r="E28" s="158"/>
      <c r="F28" s="159"/>
      <c r="G28" s="86"/>
      <c r="H28" s="194"/>
      <c r="I28" s="170"/>
      <c r="J28" s="170"/>
      <c r="K28" s="171"/>
      <c r="L28" s="86"/>
      <c r="M28" s="194"/>
      <c r="N28" s="170"/>
      <c r="O28" s="171"/>
      <c r="Q28" s="194"/>
      <c r="R28" s="171"/>
      <c r="S28" s="196"/>
    </row>
    <row r="29" spans="1:19" ht="39.6">
      <c r="A29" s="102" t="s">
        <v>308</v>
      </c>
      <c r="B29" s="103" t="s">
        <v>299</v>
      </c>
      <c r="C29" s="103" t="s">
        <v>300</v>
      </c>
      <c r="D29" s="103" t="s">
        <v>301</v>
      </c>
      <c r="E29" s="103" t="s">
        <v>302</v>
      </c>
      <c r="F29" s="103" t="s">
        <v>303</v>
      </c>
      <c r="H29" s="194"/>
      <c r="I29" s="170"/>
      <c r="J29" s="170"/>
      <c r="K29" s="171"/>
      <c r="M29" s="194"/>
      <c r="N29" s="170"/>
      <c r="O29" s="171"/>
      <c r="Q29" s="163"/>
      <c r="R29" s="165"/>
      <c r="S29" s="197"/>
    </row>
    <row r="30" spans="1:19" ht="13.8">
      <c r="A30" s="104" t="s">
        <v>309</v>
      </c>
      <c r="B30" s="33">
        <f>954+150</f>
        <v>1104</v>
      </c>
      <c r="C30" s="33">
        <f>192</f>
        <v>192</v>
      </c>
      <c r="D30" s="105">
        <f>303+150</f>
        <v>453</v>
      </c>
      <c r="E30" s="106">
        <f t="shared" ref="E30:E36" si="1">B30+C30</f>
        <v>1296</v>
      </c>
      <c r="F30" s="99">
        <v>0.34949999999999998</v>
      </c>
      <c r="H30" s="194"/>
      <c r="I30" s="170"/>
      <c r="J30" s="170"/>
      <c r="K30" s="171"/>
      <c r="M30" s="194"/>
      <c r="N30" s="170"/>
      <c r="O30" s="171"/>
      <c r="Q30" s="95"/>
      <c r="R30" s="78"/>
      <c r="S30" s="96"/>
    </row>
    <row r="31" spans="1:19" ht="13.2">
      <c r="A31" s="104" t="s">
        <v>310</v>
      </c>
      <c r="B31" s="33">
        <f>540+150</f>
        <v>690</v>
      </c>
      <c r="C31" s="33">
        <f>223+150</f>
        <v>373</v>
      </c>
      <c r="D31" s="33">
        <f>277+150</f>
        <v>427</v>
      </c>
      <c r="E31" s="106">
        <f t="shared" si="1"/>
        <v>1063</v>
      </c>
      <c r="F31" s="99">
        <v>0.4017</v>
      </c>
      <c r="H31" s="194"/>
      <c r="I31" s="170"/>
      <c r="J31" s="170"/>
      <c r="K31" s="171"/>
      <c r="M31" s="194"/>
      <c r="N31" s="170"/>
      <c r="O31" s="171"/>
      <c r="Q31" s="157" t="s">
        <v>304</v>
      </c>
      <c r="R31" s="199" t="s">
        <v>471</v>
      </c>
      <c r="S31" s="162"/>
    </row>
    <row r="32" spans="1:19" ht="13.2">
      <c r="A32" s="104" t="s">
        <v>311</v>
      </c>
      <c r="B32" s="33">
        <f>402+150</f>
        <v>552</v>
      </c>
      <c r="C32" s="33">
        <f>238+120</f>
        <v>358</v>
      </c>
      <c r="D32" s="33">
        <f>262+150</f>
        <v>412</v>
      </c>
      <c r="E32" s="106">
        <f t="shared" si="1"/>
        <v>910</v>
      </c>
      <c r="F32" s="99">
        <v>0.45269999999999999</v>
      </c>
      <c r="H32" s="194"/>
      <c r="I32" s="170"/>
      <c r="J32" s="170"/>
      <c r="K32" s="171"/>
      <c r="M32" s="194"/>
      <c r="N32" s="170"/>
      <c r="O32" s="171"/>
      <c r="Q32" s="196"/>
      <c r="R32" s="194"/>
      <c r="S32" s="171"/>
    </row>
    <row r="33" spans="1:19" ht="13.2">
      <c r="A33" s="104" t="s">
        <v>312</v>
      </c>
      <c r="B33" s="33">
        <f>310+150</f>
        <v>460</v>
      </c>
      <c r="C33" s="33">
        <f>272+100</f>
        <v>372</v>
      </c>
      <c r="D33" s="33">
        <f>228+150</f>
        <v>378</v>
      </c>
      <c r="E33" s="106">
        <f t="shared" si="1"/>
        <v>832</v>
      </c>
      <c r="F33" s="99">
        <v>0.45429999999999998</v>
      </c>
      <c r="H33" s="194"/>
      <c r="I33" s="170"/>
      <c r="J33" s="170"/>
      <c r="K33" s="171"/>
      <c r="M33" s="194"/>
      <c r="N33" s="170"/>
      <c r="O33" s="171"/>
      <c r="Q33" s="196"/>
      <c r="R33" s="194"/>
      <c r="S33" s="171"/>
    </row>
    <row r="34" spans="1:19" ht="13.2">
      <c r="A34" s="104" t="s">
        <v>313</v>
      </c>
      <c r="B34" s="33">
        <f>278+150</f>
        <v>428</v>
      </c>
      <c r="C34" s="33">
        <f>291+100</f>
        <v>391</v>
      </c>
      <c r="D34" s="33">
        <f>209+150</f>
        <v>359</v>
      </c>
      <c r="E34" s="106">
        <f t="shared" si="1"/>
        <v>819</v>
      </c>
      <c r="F34" s="99">
        <v>0.43830000000000002</v>
      </c>
      <c r="H34" s="194"/>
      <c r="I34" s="170"/>
      <c r="J34" s="170"/>
      <c r="K34" s="171"/>
      <c r="M34" s="194"/>
      <c r="N34" s="170"/>
      <c r="O34" s="171"/>
      <c r="P34" s="101"/>
      <c r="Q34" s="196"/>
      <c r="R34" s="194"/>
      <c r="S34" s="171"/>
    </row>
    <row r="35" spans="1:19" ht="13.2">
      <c r="A35" s="104" t="s">
        <v>314</v>
      </c>
      <c r="B35" s="33">
        <f>202+150</f>
        <v>352</v>
      </c>
      <c r="C35" s="33">
        <f>334</f>
        <v>334</v>
      </c>
      <c r="D35" s="33">
        <f>156+150</f>
        <v>306</v>
      </c>
      <c r="E35" s="106">
        <f t="shared" si="1"/>
        <v>686</v>
      </c>
      <c r="F35" s="99">
        <v>0.4461</v>
      </c>
      <c r="H35" s="194"/>
      <c r="I35" s="170"/>
      <c r="J35" s="170"/>
      <c r="K35" s="171"/>
      <c r="M35" s="194"/>
      <c r="N35" s="170"/>
      <c r="O35" s="171"/>
      <c r="P35" s="101"/>
      <c r="Q35" s="196"/>
      <c r="R35" s="194"/>
      <c r="S35" s="171"/>
    </row>
    <row r="36" spans="1:19" ht="13.2">
      <c r="A36" s="104" t="s">
        <v>315</v>
      </c>
      <c r="B36" s="33">
        <f>160+150</f>
        <v>310</v>
      </c>
      <c r="C36" s="33">
        <f>363</f>
        <v>363</v>
      </c>
      <c r="D36" s="33">
        <f>137+150</f>
        <v>287</v>
      </c>
      <c r="E36" s="106">
        <f t="shared" si="1"/>
        <v>673</v>
      </c>
      <c r="F36" s="99">
        <v>0.4264</v>
      </c>
      <c r="H36" s="163"/>
      <c r="I36" s="164"/>
      <c r="J36" s="164"/>
      <c r="K36" s="165"/>
      <c r="M36" s="163"/>
      <c r="N36" s="164"/>
      <c r="O36" s="165"/>
      <c r="P36" s="101"/>
      <c r="Q36" s="197"/>
      <c r="R36" s="163"/>
      <c r="S36" s="165"/>
    </row>
    <row r="37" spans="1:19" ht="13.2">
      <c r="A37" s="80"/>
      <c r="B37" s="80"/>
      <c r="C37" s="80"/>
      <c r="D37" s="80"/>
      <c r="E37" s="80"/>
      <c r="F37" s="80"/>
      <c r="G37" s="80"/>
      <c r="H37" s="80"/>
      <c r="I37" s="80"/>
      <c r="J37" s="80"/>
      <c r="K37" s="80"/>
      <c r="L37" s="80"/>
      <c r="M37" s="81"/>
      <c r="N37" s="81"/>
      <c r="O37" s="81"/>
      <c r="P37" s="82"/>
      <c r="Q37" s="83"/>
      <c r="R37" s="83"/>
      <c r="S37" s="82"/>
    </row>
    <row r="38" spans="1:19" ht="13.2">
      <c r="A38" s="200" t="s">
        <v>316</v>
      </c>
      <c r="B38" s="158"/>
      <c r="C38" s="158"/>
      <c r="D38" s="158"/>
      <c r="E38" s="158"/>
      <c r="F38" s="159"/>
      <c r="H38" s="193"/>
      <c r="I38" s="161"/>
      <c r="J38" s="161"/>
      <c r="K38" s="162"/>
      <c r="M38" s="77"/>
      <c r="N38" s="77"/>
      <c r="O38" s="77"/>
      <c r="Q38" s="78"/>
      <c r="R38" s="78"/>
      <c r="S38" s="78"/>
    </row>
    <row r="39" spans="1:19" ht="13.2">
      <c r="A39" s="200" t="s">
        <v>317</v>
      </c>
      <c r="B39" s="158"/>
      <c r="C39" s="158"/>
      <c r="D39" s="158"/>
      <c r="E39" s="158"/>
      <c r="F39" s="159"/>
      <c r="H39" s="194"/>
      <c r="I39" s="170"/>
      <c r="J39" s="170"/>
      <c r="K39" s="171"/>
      <c r="M39" s="201" t="s">
        <v>473</v>
      </c>
      <c r="N39" s="161"/>
      <c r="O39" s="162"/>
      <c r="Q39" s="157" t="s">
        <v>295</v>
      </c>
      <c r="R39" s="162"/>
      <c r="S39" s="199" t="s">
        <v>467</v>
      </c>
    </row>
    <row r="40" spans="1:19" ht="13.2">
      <c r="A40" s="4" t="s">
        <v>296</v>
      </c>
      <c r="B40" s="200" t="s">
        <v>297</v>
      </c>
      <c r="C40" s="158"/>
      <c r="D40" s="158"/>
      <c r="E40" s="158"/>
      <c r="F40" s="159"/>
      <c r="G40" s="86"/>
      <c r="H40" s="194"/>
      <c r="I40" s="170"/>
      <c r="J40" s="170"/>
      <c r="K40" s="171"/>
      <c r="L40" s="86"/>
      <c r="M40" s="194"/>
      <c r="N40" s="170"/>
      <c r="O40" s="171"/>
      <c r="Q40" s="194"/>
      <c r="R40" s="171"/>
      <c r="S40" s="196"/>
    </row>
    <row r="41" spans="1:19" ht="39.6">
      <c r="A41" s="102" t="s">
        <v>318</v>
      </c>
      <c r="B41" s="103" t="s">
        <v>299</v>
      </c>
      <c r="C41" s="103" t="s">
        <v>300</v>
      </c>
      <c r="D41" s="103" t="s">
        <v>301</v>
      </c>
      <c r="E41" s="103" t="s">
        <v>302</v>
      </c>
      <c r="F41" s="103" t="s">
        <v>303</v>
      </c>
      <c r="H41" s="194"/>
      <c r="I41" s="170"/>
      <c r="J41" s="170"/>
      <c r="K41" s="171"/>
      <c r="M41" s="194"/>
      <c r="N41" s="170"/>
      <c r="O41" s="171"/>
      <c r="Q41" s="163"/>
      <c r="R41" s="165"/>
      <c r="S41" s="197"/>
    </row>
    <row r="42" spans="1:19" ht="13.8">
      <c r="A42" s="104" t="s">
        <v>309</v>
      </c>
      <c r="B42" s="33">
        <f>997-600</f>
        <v>397</v>
      </c>
      <c r="C42" s="33">
        <v>139</v>
      </c>
      <c r="D42" s="105">
        <v>250</v>
      </c>
      <c r="E42" s="106">
        <f t="shared" ref="E42:E48" si="2">B42+C42</f>
        <v>536</v>
      </c>
      <c r="F42" s="99">
        <v>0.46639999999999998</v>
      </c>
      <c r="H42" s="194"/>
      <c r="I42" s="170"/>
      <c r="J42" s="170"/>
      <c r="K42" s="171"/>
      <c r="M42" s="194"/>
      <c r="N42" s="170"/>
      <c r="O42" s="171"/>
      <c r="Q42" s="95"/>
      <c r="R42" s="78"/>
      <c r="S42" s="96"/>
    </row>
    <row r="43" spans="1:19" ht="13.2">
      <c r="A43" s="104" t="s">
        <v>310</v>
      </c>
      <c r="B43" s="33">
        <f>620-350</f>
        <v>270</v>
      </c>
      <c r="C43" s="33">
        <v>146</v>
      </c>
      <c r="D43" s="33">
        <v>190</v>
      </c>
      <c r="E43" s="106">
        <f t="shared" si="2"/>
        <v>416</v>
      </c>
      <c r="F43" s="99">
        <v>0.45669999999999999</v>
      </c>
      <c r="H43" s="194"/>
      <c r="I43" s="170"/>
      <c r="J43" s="170"/>
      <c r="K43" s="171"/>
      <c r="M43" s="194"/>
      <c r="N43" s="170"/>
      <c r="O43" s="171"/>
      <c r="Q43" s="157" t="s">
        <v>304</v>
      </c>
      <c r="R43" s="199" t="s">
        <v>490</v>
      </c>
      <c r="S43" s="162"/>
    </row>
    <row r="44" spans="1:19" ht="13.2">
      <c r="A44" s="104" t="s">
        <v>311</v>
      </c>
      <c r="B44" s="33">
        <f>565-350</f>
        <v>215</v>
      </c>
      <c r="C44" s="33">
        <v>158</v>
      </c>
      <c r="D44" s="33">
        <v>170</v>
      </c>
      <c r="E44" s="106">
        <f t="shared" si="2"/>
        <v>373</v>
      </c>
      <c r="F44" s="99">
        <v>0.45579999999999998</v>
      </c>
      <c r="H44" s="194"/>
      <c r="I44" s="170"/>
      <c r="J44" s="170"/>
      <c r="K44" s="171"/>
      <c r="M44" s="194"/>
      <c r="N44" s="170"/>
      <c r="O44" s="171"/>
      <c r="Q44" s="196"/>
      <c r="R44" s="194"/>
      <c r="S44" s="171"/>
    </row>
    <row r="45" spans="1:19" ht="13.2">
      <c r="A45" s="104" t="s">
        <v>312</v>
      </c>
      <c r="B45" s="33">
        <f>432-280</f>
        <v>152</v>
      </c>
      <c r="C45" s="33">
        <v>171</v>
      </c>
      <c r="D45" s="33">
        <v>145</v>
      </c>
      <c r="E45" s="106">
        <f t="shared" si="2"/>
        <v>323</v>
      </c>
      <c r="F45" s="99">
        <v>0.44890000000000002</v>
      </c>
      <c r="H45" s="194"/>
      <c r="I45" s="170"/>
      <c r="J45" s="170"/>
      <c r="K45" s="171"/>
      <c r="M45" s="194"/>
      <c r="N45" s="170"/>
      <c r="O45" s="171"/>
      <c r="Q45" s="196"/>
      <c r="R45" s="194"/>
      <c r="S45" s="171"/>
    </row>
    <row r="46" spans="1:19" ht="13.2">
      <c r="A46" s="104" t="s">
        <v>313</v>
      </c>
      <c r="B46" s="33">
        <f>294-190</f>
        <v>104</v>
      </c>
      <c r="C46" s="33">
        <v>179</v>
      </c>
      <c r="D46" s="33">
        <v>122</v>
      </c>
      <c r="E46" s="106">
        <f t="shared" si="2"/>
        <v>283</v>
      </c>
      <c r="F46" s="99">
        <v>0.43109999999999998</v>
      </c>
      <c r="H46" s="194"/>
      <c r="I46" s="170"/>
      <c r="J46" s="170"/>
      <c r="K46" s="171"/>
      <c r="M46" s="194"/>
      <c r="N46" s="170"/>
      <c r="O46" s="171"/>
      <c r="P46" s="101"/>
      <c r="Q46" s="196"/>
      <c r="R46" s="194"/>
      <c r="S46" s="171"/>
    </row>
    <row r="47" spans="1:19" ht="13.2">
      <c r="A47" s="104" t="s">
        <v>314</v>
      </c>
      <c r="B47" s="33">
        <f>209-150</f>
        <v>59</v>
      </c>
      <c r="C47" s="33">
        <v>192</v>
      </c>
      <c r="D47" s="33">
        <v>109</v>
      </c>
      <c r="E47" s="106">
        <f t="shared" si="2"/>
        <v>251</v>
      </c>
      <c r="F47" s="99">
        <v>0.43430000000000002</v>
      </c>
      <c r="H47" s="194"/>
      <c r="I47" s="170"/>
      <c r="J47" s="170"/>
      <c r="K47" s="171"/>
      <c r="M47" s="194"/>
      <c r="N47" s="170"/>
      <c r="O47" s="171"/>
      <c r="P47" s="101"/>
      <c r="Q47" s="196"/>
      <c r="R47" s="194"/>
      <c r="S47" s="171"/>
    </row>
    <row r="48" spans="1:19" ht="13.2">
      <c r="A48" s="104" t="s">
        <v>315</v>
      </c>
      <c r="B48" s="33">
        <f>144-120</f>
        <v>24</v>
      </c>
      <c r="C48" s="33">
        <v>214</v>
      </c>
      <c r="D48" s="33">
        <v>102</v>
      </c>
      <c r="E48" s="106">
        <f t="shared" si="2"/>
        <v>238</v>
      </c>
      <c r="F48" s="99">
        <v>0.42859999999999998</v>
      </c>
      <c r="H48" s="163"/>
      <c r="I48" s="164"/>
      <c r="J48" s="164"/>
      <c r="K48" s="165"/>
      <c r="M48" s="163"/>
      <c r="N48" s="164"/>
      <c r="O48" s="165"/>
      <c r="P48" s="101"/>
      <c r="Q48" s="197"/>
      <c r="R48" s="163"/>
      <c r="S48" s="165"/>
    </row>
    <row r="49" spans="1:19" ht="13.2">
      <c r="A49" s="80"/>
      <c r="B49" s="80"/>
      <c r="C49" s="80"/>
      <c r="D49" s="80"/>
      <c r="E49" s="80"/>
      <c r="F49" s="80"/>
      <c r="G49" s="80"/>
      <c r="H49" s="80"/>
      <c r="I49" s="80"/>
      <c r="J49" s="80"/>
      <c r="K49" s="80"/>
      <c r="L49" s="80"/>
      <c r="M49" s="81"/>
      <c r="N49" s="81"/>
      <c r="O49" s="81"/>
      <c r="P49" s="82"/>
      <c r="Q49" s="83"/>
      <c r="R49" s="83"/>
      <c r="S49" s="82"/>
    </row>
    <row r="50" spans="1:19" ht="13.8">
      <c r="D50" s="94"/>
      <c r="P50" s="101"/>
      <c r="Q50" s="107"/>
      <c r="R50" s="108" t="s">
        <v>319</v>
      </c>
      <c r="S50" s="108" t="s">
        <v>320</v>
      </c>
    </row>
    <row r="51" spans="1:19" ht="13.2">
      <c r="D51" s="100"/>
      <c r="P51" s="157" t="s">
        <v>321</v>
      </c>
      <c r="Q51" s="162"/>
      <c r="R51" s="195" t="s">
        <v>322</v>
      </c>
      <c r="S51" s="195" t="s">
        <v>323</v>
      </c>
    </row>
    <row r="52" spans="1:19" ht="13.2">
      <c r="D52" s="100"/>
      <c r="P52" s="194"/>
      <c r="Q52" s="171"/>
      <c r="R52" s="196"/>
      <c r="S52" s="196"/>
    </row>
    <row r="53" spans="1:19" ht="13.2">
      <c r="D53" s="100"/>
      <c r="P53" s="194"/>
      <c r="Q53" s="171"/>
      <c r="R53" s="196"/>
      <c r="S53" s="196"/>
    </row>
    <row r="54" spans="1:19" ht="13.2">
      <c r="D54" s="100"/>
      <c r="P54" s="194"/>
      <c r="Q54" s="171"/>
      <c r="R54" s="196"/>
      <c r="S54" s="196"/>
    </row>
    <row r="55" spans="1:19" ht="13.2">
      <c r="D55" s="100"/>
      <c r="P55" s="194"/>
      <c r="Q55" s="171"/>
      <c r="R55" s="196"/>
      <c r="S55" s="196"/>
    </row>
    <row r="56" spans="1:19" ht="13.2">
      <c r="D56" s="100"/>
      <c r="P56" s="163"/>
      <c r="Q56" s="165"/>
      <c r="R56" s="197"/>
      <c r="S56" s="197"/>
    </row>
    <row r="57" spans="1:19" ht="13.2">
      <c r="D57" s="100"/>
      <c r="Q57" s="78"/>
      <c r="R57" s="78"/>
      <c r="S57" s="78"/>
    </row>
    <row r="58" spans="1:19" ht="13.2">
      <c r="D58" s="100"/>
      <c r="Q58" s="78"/>
      <c r="R58" s="78"/>
      <c r="S58" s="78"/>
    </row>
    <row r="59" spans="1:19" ht="13.2">
      <c r="D59" s="100"/>
      <c r="Q59" s="157" t="s">
        <v>324</v>
      </c>
      <c r="R59" s="199" t="s">
        <v>325</v>
      </c>
      <c r="S59" s="162"/>
    </row>
    <row r="60" spans="1:19" ht="13.2">
      <c r="D60" s="100"/>
      <c r="Q60" s="196"/>
      <c r="R60" s="194"/>
      <c r="S60" s="171"/>
    </row>
    <row r="61" spans="1:19" ht="13.2">
      <c r="Q61" s="196"/>
      <c r="R61" s="194"/>
      <c r="S61" s="171"/>
    </row>
    <row r="62" spans="1:19" ht="13.2">
      <c r="Q62" s="196"/>
      <c r="R62" s="194"/>
      <c r="S62" s="171"/>
    </row>
    <row r="63" spans="1:19" ht="13.2">
      <c r="Q63" s="196"/>
      <c r="R63" s="194"/>
      <c r="S63" s="171"/>
    </row>
    <row r="64" spans="1:19" ht="13.2">
      <c r="Q64" s="197"/>
      <c r="R64" s="163"/>
      <c r="S64" s="165"/>
    </row>
    <row r="65" spans="1:19" ht="13.2">
      <c r="A65" s="80"/>
      <c r="B65" s="80"/>
      <c r="C65" s="80"/>
      <c r="D65" s="80"/>
      <c r="E65" s="80"/>
      <c r="F65" s="80"/>
      <c r="G65" s="80"/>
      <c r="H65" s="80"/>
      <c r="I65" s="80"/>
      <c r="J65" s="80"/>
      <c r="K65" s="80"/>
      <c r="L65" s="80"/>
      <c r="M65" s="81"/>
      <c r="N65" s="81"/>
      <c r="O65" s="81"/>
      <c r="P65" s="82"/>
      <c r="Q65" s="83"/>
      <c r="R65" s="83"/>
      <c r="S65" s="82"/>
    </row>
  </sheetData>
  <mergeCells count="44">
    <mergeCell ref="A1:S1"/>
    <mergeCell ref="A9:I9"/>
    <mergeCell ref="S27:S29"/>
    <mergeCell ref="Q59:Q64"/>
    <mergeCell ref="A39:F39"/>
    <mergeCell ref="B40:F40"/>
    <mergeCell ref="A15:F15"/>
    <mergeCell ref="M39:O48"/>
    <mergeCell ref="H14:K24"/>
    <mergeCell ref="S39:S41"/>
    <mergeCell ref="A11:I11"/>
    <mergeCell ref="H26:K36"/>
    <mergeCell ref="Q15:R17"/>
    <mergeCell ref="P51:Q56"/>
    <mergeCell ref="Q27:R29"/>
    <mergeCell ref="R19:S24"/>
    <mergeCell ref="A2:I2"/>
    <mergeCell ref="M27:O36"/>
    <mergeCell ref="A5:I5"/>
    <mergeCell ref="A14:F14"/>
    <mergeCell ref="A8:I8"/>
    <mergeCell ref="A4:I4"/>
    <mergeCell ref="A10:I10"/>
    <mergeCell ref="B28:F28"/>
    <mergeCell ref="A6:I6"/>
    <mergeCell ref="A3:I3"/>
    <mergeCell ref="A26:F26"/>
    <mergeCell ref="M15:O24"/>
    <mergeCell ref="A12:I12"/>
    <mergeCell ref="Q43:Q48"/>
    <mergeCell ref="Q39:R41"/>
    <mergeCell ref="Q19:Q24"/>
    <mergeCell ref="A38:F38"/>
    <mergeCell ref="R43:S48"/>
    <mergeCell ref="Q31:Q36"/>
    <mergeCell ref="R31:S36"/>
    <mergeCell ref="A7:I7"/>
    <mergeCell ref="H38:K48"/>
    <mergeCell ref="S51:S56"/>
    <mergeCell ref="B16:F16"/>
    <mergeCell ref="R59:S64"/>
    <mergeCell ref="A27:F27"/>
    <mergeCell ref="S15:S17"/>
    <mergeCell ref="R51:R56"/>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S63"/>
  <sheetViews>
    <sheetView showGridLines="0" topLeftCell="J51" workbookViewId="0">
      <selection activeCell="P24" sqref="P24"/>
    </sheetView>
  </sheetViews>
  <sheetFormatPr defaultColWidth="12.6640625" defaultRowHeight="15.75" customHeight="1"/>
  <cols>
    <col min="2" max="2" width="10.109375" customWidth="1"/>
    <col min="3" max="3" width="15.21875" customWidth="1"/>
    <col min="4" max="4" width="15.77734375" customWidth="1"/>
    <col min="5" max="5" width="7.88671875" customWidth="1"/>
    <col min="6" max="6" width="10" customWidth="1"/>
  </cols>
  <sheetData>
    <row r="1" spans="1:19" ht="15.75" customHeight="1">
      <c r="A1" s="204" t="s">
        <v>18</v>
      </c>
      <c r="B1" s="158"/>
      <c r="C1" s="158"/>
      <c r="D1" s="158"/>
      <c r="E1" s="158"/>
      <c r="F1" s="158"/>
      <c r="G1" s="158"/>
      <c r="H1" s="158"/>
      <c r="I1" s="158"/>
      <c r="J1" s="158"/>
      <c r="K1" s="158"/>
      <c r="L1" s="158"/>
      <c r="M1" s="158"/>
      <c r="N1" s="158"/>
      <c r="O1" s="158"/>
      <c r="P1" s="158"/>
      <c r="Q1" s="158"/>
      <c r="R1" s="158"/>
      <c r="S1" s="159"/>
    </row>
    <row r="2" spans="1:19">
      <c r="A2" s="185" t="s">
        <v>326</v>
      </c>
      <c r="B2" s="158"/>
      <c r="C2" s="158"/>
      <c r="D2" s="158"/>
      <c r="E2" s="158"/>
      <c r="F2" s="158"/>
      <c r="G2" s="158"/>
      <c r="H2" s="158"/>
      <c r="I2" s="159"/>
      <c r="O2" s="109"/>
      <c r="P2" s="77"/>
      <c r="R2" s="78"/>
      <c r="S2" s="78"/>
    </row>
    <row r="3" spans="1:19">
      <c r="A3" s="184" t="s">
        <v>284</v>
      </c>
      <c r="B3" s="158"/>
      <c r="C3" s="158"/>
      <c r="D3" s="158"/>
      <c r="E3" s="158"/>
      <c r="F3" s="158"/>
      <c r="G3" s="158"/>
      <c r="H3" s="158"/>
      <c r="I3" s="159"/>
      <c r="O3" s="109"/>
      <c r="P3" s="77"/>
      <c r="R3" s="78"/>
      <c r="S3" s="78"/>
    </row>
    <row r="4" spans="1:19">
      <c r="A4" s="167" t="s">
        <v>327</v>
      </c>
      <c r="B4" s="164"/>
      <c r="C4" s="164"/>
      <c r="D4" s="164"/>
      <c r="E4" s="164"/>
      <c r="F4" s="164"/>
      <c r="G4" s="164"/>
      <c r="H4" s="164"/>
      <c r="I4" s="165"/>
      <c r="O4" s="109"/>
      <c r="P4" s="77"/>
      <c r="R4" s="78"/>
      <c r="S4" s="78"/>
    </row>
    <row r="5" spans="1:19">
      <c r="A5" s="185" t="s">
        <v>328</v>
      </c>
      <c r="B5" s="158"/>
      <c r="C5" s="158"/>
      <c r="D5" s="158"/>
      <c r="E5" s="158"/>
      <c r="F5" s="158"/>
      <c r="G5" s="158"/>
      <c r="H5" s="158"/>
      <c r="I5" s="159"/>
      <c r="O5" s="109"/>
      <c r="P5" s="77"/>
      <c r="R5" s="78"/>
      <c r="S5" s="78"/>
    </row>
    <row r="6" spans="1:19">
      <c r="A6" s="207" t="s">
        <v>329</v>
      </c>
      <c r="B6" s="158"/>
      <c r="C6" s="158"/>
      <c r="D6" s="158"/>
      <c r="E6" s="158"/>
      <c r="F6" s="158"/>
      <c r="G6" s="158"/>
      <c r="H6" s="158"/>
      <c r="I6" s="159"/>
      <c r="O6" s="109"/>
      <c r="P6" s="77"/>
      <c r="R6" s="78"/>
      <c r="S6" s="78"/>
    </row>
    <row r="7" spans="1:19">
      <c r="A7" s="207" t="s">
        <v>289</v>
      </c>
      <c r="B7" s="158"/>
      <c r="C7" s="158"/>
      <c r="D7" s="158"/>
      <c r="E7" s="158"/>
      <c r="F7" s="158"/>
      <c r="G7" s="158"/>
      <c r="H7" s="158"/>
      <c r="I7" s="159"/>
      <c r="O7" s="109"/>
      <c r="P7" s="77"/>
      <c r="R7" s="78"/>
      <c r="S7" s="78"/>
    </row>
    <row r="8" spans="1:19">
      <c r="A8" s="207" t="s">
        <v>330</v>
      </c>
      <c r="B8" s="158"/>
      <c r="C8" s="158"/>
      <c r="D8" s="158"/>
      <c r="E8" s="158"/>
      <c r="F8" s="158"/>
      <c r="G8" s="158"/>
      <c r="H8" s="158"/>
      <c r="I8" s="159"/>
      <c r="O8" s="109"/>
      <c r="P8" s="77"/>
      <c r="R8" s="78"/>
      <c r="S8" s="78"/>
    </row>
    <row r="9" spans="1:19">
      <c r="A9" s="207" t="s">
        <v>291</v>
      </c>
      <c r="B9" s="158"/>
      <c r="C9" s="158"/>
      <c r="D9" s="158"/>
      <c r="E9" s="158"/>
      <c r="F9" s="158"/>
      <c r="G9" s="158"/>
      <c r="H9" s="158"/>
      <c r="I9" s="159"/>
      <c r="O9" s="109"/>
      <c r="P9" s="77"/>
      <c r="R9" s="78"/>
      <c r="S9" s="78"/>
    </row>
    <row r="10" spans="1:19">
      <c r="A10" s="207" t="s">
        <v>331</v>
      </c>
      <c r="B10" s="158"/>
      <c r="C10" s="158"/>
      <c r="D10" s="158"/>
      <c r="E10" s="158"/>
      <c r="F10" s="158"/>
      <c r="G10" s="158"/>
      <c r="H10" s="158"/>
      <c r="I10" s="159"/>
      <c r="O10" s="109"/>
      <c r="P10" s="77"/>
      <c r="R10" s="78"/>
      <c r="S10" s="78"/>
    </row>
    <row r="11" spans="1:19">
      <c r="A11" s="202" t="s">
        <v>37</v>
      </c>
      <c r="B11" s="170"/>
      <c r="C11" s="170"/>
      <c r="D11" s="170"/>
      <c r="E11" s="170"/>
      <c r="F11" s="170"/>
      <c r="G11" s="170"/>
      <c r="H11" s="170"/>
      <c r="I11" s="170"/>
      <c r="J11" s="84"/>
      <c r="K11" s="84"/>
      <c r="L11" s="84"/>
      <c r="M11" s="84"/>
      <c r="N11" s="84"/>
      <c r="O11" s="84"/>
      <c r="P11" s="77"/>
      <c r="R11" s="78"/>
      <c r="S11" s="78"/>
    </row>
    <row r="12" spans="1:19">
      <c r="A12" s="84"/>
      <c r="B12" s="84"/>
      <c r="C12" s="84"/>
      <c r="D12" s="84"/>
      <c r="E12" s="84"/>
      <c r="F12" s="84"/>
      <c r="G12" s="84"/>
      <c r="H12" s="84"/>
      <c r="I12" s="84"/>
      <c r="J12" s="84"/>
      <c r="K12" s="84"/>
      <c r="L12" s="84"/>
      <c r="M12" s="84"/>
      <c r="N12" s="84"/>
      <c r="O12" s="84"/>
      <c r="P12" s="77"/>
      <c r="R12" s="78"/>
      <c r="S12" s="78"/>
    </row>
    <row r="13" spans="1:19">
      <c r="A13" s="200" t="s">
        <v>332</v>
      </c>
      <c r="B13" s="158"/>
      <c r="C13" s="158"/>
      <c r="D13" s="158"/>
      <c r="E13" s="158"/>
      <c r="F13" s="159"/>
      <c r="H13" s="193"/>
      <c r="I13" s="161"/>
      <c r="J13" s="161"/>
      <c r="K13" s="162"/>
      <c r="L13" s="77"/>
      <c r="M13" s="77"/>
      <c r="N13" s="77"/>
      <c r="O13" s="77"/>
    </row>
    <row r="14" spans="1:19" ht="13.2">
      <c r="A14" s="200" t="s">
        <v>333</v>
      </c>
      <c r="B14" s="158"/>
      <c r="C14" s="158"/>
      <c r="D14" s="158"/>
      <c r="E14" s="158"/>
      <c r="F14" s="159"/>
      <c r="H14" s="194"/>
      <c r="I14" s="170"/>
      <c r="J14" s="170"/>
      <c r="K14" s="171"/>
      <c r="L14" s="77"/>
      <c r="M14" s="201" t="s">
        <v>464</v>
      </c>
      <c r="N14" s="161"/>
      <c r="O14" s="162"/>
      <c r="Q14" s="208" t="s">
        <v>334</v>
      </c>
      <c r="R14" s="161"/>
      <c r="S14" s="199" t="s">
        <v>465</v>
      </c>
    </row>
    <row r="15" spans="1:19">
      <c r="A15" s="4" t="s">
        <v>335</v>
      </c>
      <c r="B15" s="200" t="s">
        <v>297</v>
      </c>
      <c r="C15" s="158"/>
      <c r="D15" s="158"/>
      <c r="E15" s="158"/>
      <c r="F15" s="159"/>
      <c r="H15" s="194"/>
      <c r="I15" s="170"/>
      <c r="J15" s="170"/>
      <c r="K15" s="171"/>
      <c r="L15" s="77"/>
      <c r="M15" s="194"/>
      <c r="N15" s="170"/>
      <c r="O15" s="171"/>
      <c r="Q15" s="194"/>
      <c r="R15" s="170"/>
      <c r="S15" s="196"/>
    </row>
    <row r="16" spans="1:19">
      <c r="A16" s="102" t="s">
        <v>336</v>
      </c>
      <c r="B16" s="103" t="s">
        <v>299</v>
      </c>
      <c r="C16" s="103" t="s">
        <v>300</v>
      </c>
      <c r="D16" s="103" t="s">
        <v>301</v>
      </c>
      <c r="E16" s="103" t="s">
        <v>302</v>
      </c>
      <c r="F16" s="103" t="s">
        <v>303</v>
      </c>
      <c r="G16" s="110"/>
      <c r="H16" s="194"/>
      <c r="I16" s="170"/>
      <c r="J16" s="170"/>
      <c r="K16" s="171"/>
      <c r="L16" s="77"/>
      <c r="M16" s="194"/>
      <c r="N16" s="170"/>
      <c r="O16" s="171"/>
      <c r="Q16" s="194"/>
      <c r="R16" s="170"/>
      <c r="S16" s="197"/>
    </row>
    <row r="17" spans="1:19">
      <c r="A17" s="104" t="s">
        <v>309</v>
      </c>
      <c r="B17" s="33">
        <f>954-750</f>
        <v>204</v>
      </c>
      <c r="C17" s="33">
        <f>192+150</f>
        <v>342</v>
      </c>
      <c r="D17" s="105">
        <f>303+150</f>
        <v>453</v>
      </c>
      <c r="E17" s="106">
        <f t="shared" ref="E17:E23" si="0">B17+C17</f>
        <v>546</v>
      </c>
      <c r="F17" s="111">
        <v>0.83</v>
      </c>
      <c r="H17" s="194"/>
      <c r="I17" s="170"/>
      <c r="J17" s="170"/>
      <c r="K17" s="171"/>
      <c r="L17" s="77"/>
      <c r="M17" s="194"/>
      <c r="N17" s="170"/>
      <c r="O17" s="171"/>
      <c r="Q17" s="95"/>
      <c r="R17" s="78"/>
      <c r="S17" s="96"/>
    </row>
    <row r="18" spans="1:19" ht="13.2">
      <c r="A18" s="104" t="s">
        <v>310</v>
      </c>
      <c r="B18" s="33">
        <f>540-370</f>
        <v>170</v>
      </c>
      <c r="C18" s="33">
        <v>360</v>
      </c>
      <c r="D18" s="33">
        <f>277+150</f>
        <v>427</v>
      </c>
      <c r="E18" s="106">
        <f t="shared" si="0"/>
        <v>530</v>
      </c>
      <c r="F18" s="99">
        <v>0.80569999999999997</v>
      </c>
      <c r="H18" s="194"/>
      <c r="I18" s="170"/>
      <c r="J18" s="170"/>
      <c r="K18" s="171"/>
      <c r="L18" s="77"/>
      <c r="M18" s="194"/>
      <c r="N18" s="170"/>
      <c r="O18" s="171"/>
      <c r="Q18" s="157" t="s">
        <v>304</v>
      </c>
      <c r="R18" s="199" t="s">
        <v>466</v>
      </c>
      <c r="S18" s="162"/>
    </row>
    <row r="19" spans="1:19">
      <c r="A19" s="104" t="s">
        <v>311</v>
      </c>
      <c r="B19" s="33">
        <f>402-250</f>
        <v>152</v>
      </c>
      <c r="C19" s="33">
        <v>370</v>
      </c>
      <c r="D19" s="33">
        <f>262+150</f>
        <v>412</v>
      </c>
      <c r="E19" s="106">
        <f t="shared" si="0"/>
        <v>522</v>
      </c>
      <c r="F19" s="99">
        <v>0.7893</v>
      </c>
      <c r="H19" s="194"/>
      <c r="I19" s="170"/>
      <c r="J19" s="170"/>
      <c r="K19" s="171"/>
      <c r="L19" s="77"/>
      <c r="M19" s="194"/>
      <c r="N19" s="170"/>
      <c r="O19" s="171"/>
      <c r="Q19" s="196"/>
      <c r="R19" s="194"/>
      <c r="S19" s="171"/>
    </row>
    <row r="20" spans="1:19">
      <c r="A20" s="104" t="s">
        <v>312</v>
      </c>
      <c r="B20" s="33">
        <f>310-200</f>
        <v>110</v>
      </c>
      <c r="C20" s="33">
        <v>380</v>
      </c>
      <c r="D20" s="33">
        <f>228+150</f>
        <v>378</v>
      </c>
      <c r="E20" s="106">
        <f t="shared" si="0"/>
        <v>490</v>
      </c>
      <c r="F20" s="99">
        <v>0.77139999999999997</v>
      </c>
      <c r="H20" s="194"/>
      <c r="I20" s="170"/>
      <c r="J20" s="170"/>
      <c r="K20" s="171"/>
      <c r="L20" s="77"/>
      <c r="M20" s="194"/>
      <c r="N20" s="170"/>
      <c r="O20" s="171"/>
      <c r="Q20" s="196"/>
      <c r="R20" s="194"/>
      <c r="S20" s="171"/>
    </row>
    <row r="21" spans="1:19">
      <c r="A21" s="104" t="s">
        <v>313</v>
      </c>
      <c r="B21" s="33">
        <v>90</v>
      </c>
      <c r="C21" s="33">
        <v>520</v>
      </c>
      <c r="D21" s="33">
        <f>209+150</f>
        <v>359</v>
      </c>
      <c r="E21" s="106">
        <f t="shared" si="0"/>
        <v>610</v>
      </c>
      <c r="F21" s="99">
        <v>0.58850000000000002</v>
      </c>
      <c r="H21" s="194"/>
      <c r="I21" s="170"/>
      <c r="J21" s="170"/>
      <c r="K21" s="171"/>
      <c r="L21" s="77"/>
      <c r="M21" s="194"/>
      <c r="N21" s="170"/>
      <c r="O21" s="171"/>
      <c r="P21" s="101"/>
      <c r="Q21" s="196"/>
      <c r="R21" s="194"/>
      <c r="S21" s="171"/>
    </row>
    <row r="22" spans="1:19">
      <c r="A22" s="104" t="s">
        <v>314</v>
      </c>
      <c r="B22" s="33">
        <v>65</v>
      </c>
      <c r="C22" s="33">
        <v>650</v>
      </c>
      <c r="D22" s="33">
        <f>156+150</f>
        <v>306</v>
      </c>
      <c r="E22" s="106">
        <f t="shared" si="0"/>
        <v>715</v>
      </c>
      <c r="F22" s="99">
        <v>0.42799999999999999</v>
      </c>
      <c r="H22" s="194"/>
      <c r="I22" s="170"/>
      <c r="J22" s="170"/>
      <c r="K22" s="171"/>
      <c r="L22" s="77"/>
      <c r="M22" s="194"/>
      <c r="N22" s="170"/>
      <c r="O22" s="171"/>
      <c r="P22" s="101"/>
      <c r="Q22" s="196"/>
      <c r="R22" s="194"/>
      <c r="S22" s="171"/>
    </row>
    <row r="23" spans="1:19">
      <c r="A23" s="104" t="s">
        <v>315</v>
      </c>
      <c r="B23" s="33">
        <v>30</v>
      </c>
      <c r="C23" s="33">
        <v>874</v>
      </c>
      <c r="D23" s="33">
        <f>137+150</f>
        <v>287</v>
      </c>
      <c r="E23" s="106">
        <f t="shared" si="0"/>
        <v>904</v>
      </c>
      <c r="F23" s="99">
        <v>0.3175</v>
      </c>
      <c r="H23" s="163"/>
      <c r="I23" s="164"/>
      <c r="J23" s="164"/>
      <c r="K23" s="165"/>
      <c r="L23" s="77"/>
      <c r="M23" s="163"/>
      <c r="N23" s="164"/>
      <c r="O23" s="165"/>
      <c r="P23" s="101"/>
      <c r="Q23" s="197"/>
      <c r="R23" s="163"/>
      <c r="S23" s="165"/>
    </row>
    <row r="24" spans="1:19">
      <c r="A24" s="110"/>
      <c r="C24" s="100"/>
    </row>
    <row r="25" spans="1:19" ht="13.2">
      <c r="A25" s="200" t="s">
        <v>337</v>
      </c>
      <c r="B25" s="158"/>
      <c r="C25" s="158"/>
      <c r="D25" s="158"/>
      <c r="E25" s="158"/>
      <c r="F25" s="159"/>
      <c r="H25" s="193"/>
      <c r="I25" s="161"/>
      <c r="J25" s="161"/>
      <c r="K25" s="162"/>
      <c r="L25" s="77"/>
      <c r="M25" s="77"/>
      <c r="N25" s="77"/>
      <c r="O25" s="77"/>
    </row>
    <row r="26" spans="1:19" ht="13.2">
      <c r="A26" s="200" t="s">
        <v>338</v>
      </c>
      <c r="B26" s="158"/>
      <c r="C26" s="158"/>
      <c r="D26" s="158"/>
      <c r="E26" s="158"/>
      <c r="F26" s="159"/>
      <c r="H26" s="194"/>
      <c r="I26" s="170"/>
      <c r="J26" s="170"/>
      <c r="K26" s="171"/>
      <c r="L26" s="77"/>
      <c r="M26" s="201" t="s">
        <v>463</v>
      </c>
      <c r="N26" s="161"/>
      <c r="O26" s="162"/>
      <c r="Q26" s="157" t="s">
        <v>334</v>
      </c>
      <c r="R26" s="162"/>
      <c r="S26" s="199" t="s">
        <v>491</v>
      </c>
    </row>
    <row r="27" spans="1:19" ht="15.75" customHeight="1">
      <c r="A27" s="4" t="s">
        <v>335</v>
      </c>
      <c r="B27" s="200" t="s">
        <v>297</v>
      </c>
      <c r="C27" s="158"/>
      <c r="D27" s="158"/>
      <c r="E27" s="158"/>
      <c r="F27" s="159"/>
      <c r="H27" s="194"/>
      <c r="I27" s="170"/>
      <c r="J27" s="170"/>
      <c r="K27" s="171"/>
      <c r="L27" s="77"/>
      <c r="M27" s="194"/>
      <c r="N27" s="170"/>
      <c r="O27" s="171"/>
      <c r="Q27" s="194"/>
      <c r="R27" s="171"/>
      <c r="S27" s="196"/>
    </row>
    <row r="28" spans="1:19" ht="15.75" customHeight="1">
      <c r="A28" s="102" t="s">
        <v>336</v>
      </c>
      <c r="B28" s="103" t="s">
        <v>299</v>
      </c>
      <c r="C28" s="103" t="s">
        <v>300</v>
      </c>
      <c r="D28" s="103" t="s">
        <v>301</v>
      </c>
      <c r="E28" s="103" t="s">
        <v>302</v>
      </c>
      <c r="F28" s="103" t="s">
        <v>303</v>
      </c>
      <c r="G28" s="110"/>
      <c r="H28" s="194"/>
      <c r="I28" s="170"/>
      <c r="J28" s="170"/>
      <c r="K28" s="171"/>
      <c r="L28" s="77"/>
      <c r="M28" s="194"/>
      <c r="N28" s="170"/>
      <c r="O28" s="171"/>
      <c r="Q28" s="163"/>
      <c r="R28" s="165"/>
      <c r="S28" s="197"/>
    </row>
    <row r="29" spans="1:19" ht="13.8">
      <c r="A29" s="104" t="s">
        <v>309</v>
      </c>
      <c r="B29" s="33">
        <f>954+150</f>
        <v>1104</v>
      </c>
      <c r="C29" s="33">
        <v>200</v>
      </c>
      <c r="D29" s="105">
        <v>800</v>
      </c>
      <c r="E29" s="106">
        <f t="shared" ref="E29:E35" si="1">B29+C29</f>
        <v>1304</v>
      </c>
      <c r="F29" s="99">
        <v>0.61350000000000005</v>
      </c>
      <c r="H29" s="194"/>
      <c r="I29" s="170"/>
      <c r="J29" s="170"/>
      <c r="K29" s="171"/>
      <c r="L29" s="77"/>
      <c r="M29" s="194"/>
      <c r="N29" s="170"/>
      <c r="O29" s="171"/>
      <c r="Q29" s="95"/>
      <c r="R29" s="78"/>
      <c r="S29" s="96"/>
    </row>
    <row r="30" spans="1:19" ht="13.2">
      <c r="A30" s="104" t="s">
        <v>310</v>
      </c>
      <c r="B30" s="33">
        <f>540+150</f>
        <v>690</v>
      </c>
      <c r="C30" s="33">
        <f>223+150</f>
        <v>373</v>
      </c>
      <c r="D30" s="33">
        <f>277+150+200</f>
        <v>627</v>
      </c>
      <c r="E30" s="106">
        <f t="shared" si="1"/>
        <v>1063</v>
      </c>
      <c r="F30" s="99">
        <v>0.58979999999999999</v>
      </c>
      <c r="H30" s="194"/>
      <c r="I30" s="170"/>
      <c r="J30" s="170"/>
      <c r="K30" s="171"/>
      <c r="L30" s="77"/>
      <c r="M30" s="194"/>
      <c r="N30" s="170"/>
      <c r="O30" s="171"/>
      <c r="Q30" s="157" t="s">
        <v>304</v>
      </c>
      <c r="R30" s="199" t="s">
        <v>466</v>
      </c>
      <c r="S30" s="162"/>
    </row>
    <row r="31" spans="1:19" ht="13.2">
      <c r="A31" s="104" t="s">
        <v>311</v>
      </c>
      <c r="B31" s="33">
        <f>402+150</f>
        <v>552</v>
      </c>
      <c r="C31" s="33">
        <f>238+150</f>
        <v>388</v>
      </c>
      <c r="D31" s="33">
        <f>262+150+120</f>
        <v>532</v>
      </c>
      <c r="E31" s="106">
        <f t="shared" si="1"/>
        <v>940</v>
      </c>
      <c r="F31" s="99">
        <v>0.56599999999999995</v>
      </c>
      <c r="H31" s="194"/>
      <c r="I31" s="170"/>
      <c r="J31" s="170"/>
      <c r="K31" s="171"/>
      <c r="L31" s="77"/>
      <c r="M31" s="194"/>
      <c r="N31" s="170"/>
      <c r="O31" s="171"/>
      <c r="Q31" s="196"/>
      <c r="R31" s="194"/>
      <c r="S31" s="171"/>
    </row>
    <row r="32" spans="1:19" ht="13.2">
      <c r="A32" s="104" t="s">
        <v>312</v>
      </c>
      <c r="B32" s="33">
        <f>310+150</f>
        <v>460</v>
      </c>
      <c r="C32" s="33">
        <f>272+150-50</f>
        <v>372</v>
      </c>
      <c r="D32" s="33">
        <f>228+150+80</f>
        <v>458</v>
      </c>
      <c r="E32" s="106">
        <f t="shared" si="1"/>
        <v>832</v>
      </c>
      <c r="F32" s="99">
        <v>0.55049999999999999</v>
      </c>
      <c r="H32" s="194"/>
      <c r="I32" s="170"/>
      <c r="J32" s="170"/>
      <c r="K32" s="171"/>
      <c r="L32" s="77"/>
      <c r="M32" s="194"/>
      <c r="N32" s="170"/>
      <c r="O32" s="171"/>
      <c r="Q32" s="196"/>
      <c r="R32" s="194"/>
      <c r="S32" s="171"/>
    </row>
    <row r="33" spans="1:19" ht="13.2">
      <c r="A33" s="104" t="s">
        <v>313</v>
      </c>
      <c r="B33" s="33">
        <f>278+150</f>
        <v>428</v>
      </c>
      <c r="C33" s="33">
        <f>291+150</f>
        <v>441</v>
      </c>
      <c r="D33" s="33">
        <f>209+150</f>
        <v>359</v>
      </c>
      <c r="E33" s="106">
        <f t="shared" si="1"/>
        <v>869</v>
      </c>
      <c r="F33" s="99">
        <v>0.41310000000000002</v>
      </c>
      <c r="H33" s="194"/>
      <c r="I33" s="170"/>
      <c r="J33" s="170"/>
      <c r="K33" s="171"/>
      <c r="L33" s="77"/>
      <c r="M33" s="194"/>
      <c r="N33" s="170"/>
      <c r="O33" s="171"/>
      <c r="P33" s="101"/>
      <c r="Q33" s="196"/>
      <c r="R33" s="194"/>
      <c r="S33" s="171"/>
    </row>
    <row r="34" spans="1:19" ht="13.2">
      <c r="A34" s="104" t="s">
        <v>314</v>
      </c>
      <c r="B34" s="33">
        <f>202+150</f>
        <v>352</v>
      </c>
      <c r="C34" s="33">
        <f>334+150</f>
        <v>484</v>
      </c>
      <c r="D34" s="33">
        <f>156+150</f>
        <v>306</v>
      </c>
      <c r="E34" s="106">
        <f t="shared" si="1"/>
        <v>836</v>
      </c>
      <c r="F34" s="99">
        <v>0.36599999999999999</v>
      </c>
      <c r="H34" s="194"/>
      <c r="I34" s="170"/>
      <c r="J34" s="170"/>
      <c r="K34" s="171"/>
      <c r="L34" s="77"/>
      <c r="M34" s="194"/>
      <c r="N34" s="170"/>
      <c r="O34" s="171"/>
      <c r="P34" s="101"/>
      <c r="Q34" s="196"/>
      <c r="R34" s="194"/>
      <c r="S34" s="171"/>
    </row>
    <row r="35" spans="1:19" ht="13.2">
      <c r="A35" s="104" t="s">
        <v>315</v>
      </c>
      <c r="B35" s="33">
        <f>160+150</f>
        <v>310</v>
      </c>
      <c r="C35" s="33">
        <f>363+150</f>
        <v>513</v>
      </c>
      <c r="D35" s="33">
        <f>137+150-100</f>
        <v>187</v>
      </c>
      <c r="E35" s="106">
        <f t="shared" si="1"/>
        <v>823</v>
      </c>
      <c r="F35" s="99">
        <v>0.22720000000000001</v>
      </c>
      <c r="H35" s="163"/>
      <c r="I35" s="164"/>
      <c r="J35" s="164"/>
      <c r="K35" s="165"/>
      <c r="L35" s="77"/>
      <c r="M35" s="163"/>
      <c r="N35" s="164"/>
      <c r="O35" s="165"/>
      <c r="P35" s="101"/>
      <c r="Q35" s="197"/>
      <c r="R35" s="163"/>
      <c r="S35" s="165"/>
    </row>
    <row r="36" spans="1:19" ht="13.2">
      <c r="A36" s="110"/>
    </row>
    <row r="37" spans="1:19" ht="13.2">
      <c r="A37" s="200" t="s">
        <v>339</v>
      </c>
      <c r="B37" s="158"/>
      <c r="C37" s="158"/>
      <c r="D37" s="158"/>
      <c r="E37" s="158"/>
      <c r="F37" s="159"/>
      <c r="H37" s="193"/>
      <c r="I37" s="161"/>
      <c r="J37" s="161"/>
      <c r="K37" s="162"/>
      <c r="L37" s="77"/>
      <c r="M37" s="77"/>
      <c r="N37" s="77"/>
      <c r="O37" s="77"/>
    </row>
    <row r="38" spans="1:19" ht="13.2">
      <c r="A38" s="200" t="s">
        <v>340</v>
      </c>
      <c r="B38" s="158"/>
      <c r="C38" s="158"/>
      <c r="D38" s="158"/>
      <c r="E38" s="158"/>
      <c r="F38" s="159"/>
      <c r="H38" s="194"/>
      <c r="I38" s="170"/>
      <c r="J38" s="170"/>
      <c r="K38" s="171"/>
      <c r="L38" s="77"/>
      <c r="M38" s="201" t="s">
        <v>462</v>
      </c>
      <c r="N38" s="161"/>
      <c r="O38" s="162"/>
      <c r="Q38" s="208" t="s">
        <v>334</v>
      </c>
      <c r="R38" s="161"/>
      <c r="S38" s="199" t="s">
        <v>467</v>
      </c>
    </row>
    <row r="39" spans="1:19" ht="13.2">
      <c r="A39" s="4" t="s">
        <v>335</v>
      </c>
      <c r="B39" s="200" t="s">
        <v>297</v>
      </c>
      <c r="C39" s="158"/>
      <c r="D39" s="158"/>
      <c r="E39" s="158"/>
      <c r="F39" s="159"/>
      <c r="H39" s="194"/>
      <c r="I39" s="170"/>
      <c r="J39" s="170"/>
      <c r="K39" s="171"/>
      <c r="L39" s="77"/>
      <c r="M39" s="194"/>
      <c r="N39" s="170"/>
      <c r="O39" s="171"/>
      <c r="Q39" s="194"/>
      <c r="R39" s="170"/>
      <c r="S39" s="196"/>
    </row>
    <row r="40" spans="1:19" ht="39.6">
      <c r="A40" s="102" t="s">
        <v>336</v>
      </c>
      <c r="B40" s="103" t="s">
        <v>299</v>
      </c>
      <c r="C40" s="103" t="s">
        <v>300</v>
      </c>
      <c r="D40" s="103" t="s">
        <v>301</v>
      </c>
      <c r="E40" s="103" t="s">
        <v>302</v>
      </c>
      <c r="F40" s="103" t="s">
        <v>303</v>
      </c>
      <c r="G40" s="110"/>
      <c r="H40" s="194"/>
      <c r="I40" s="170"/>
      <c r="J40" s="170"/>
      <c r="K40" s="171"/>
      <c r="L40" s="77"/>
      <c r="M40" s="194"/>
      <c r="N40" s="170"/>
      <c r="O40" s="171"/>
      <c r="Q40" s="194"/>
      <c r="R40" s="170"/>
      <c r="S40" s="197"/>
    </row>
    <row r="41" spans="1:19" ht="13.8">
      <c r="A41" s="104" t="s">
        <v>309</v>
      </c>
      <c r="B41" s="33">
        <f>954+150</f>
        <v>1104</v>
      </c>
      <c r="C41" s="33">
        <f>192+150</f>
        <v>342</v>
      </c>
      <c r="D41" s="105">
        <f>303+300</f>
        <v>603</v>
      </c>
      <c r="E41" s="106">
        <f t="shared" ref="E41:E47" si="2">B41+C41</f>
        <v>1446</v>
      </c>
      <c r="F41" s="99">
        <v>0.41699999999999998</v>
      </c>
      <c r="H41" s="194"/>
      <c r="I41" s="170"/>
      <c r="J41" s="170"/>
      <c r="K41" s="171"/>
      <c r="L41" s="77"/>
      <c r="M41" s="194"/>
      <c r="N41" s="170"/>
      <c r="O41" s="171"/>
      <c r="Q41" s="95"/>
      <c r="R41" s="78"/>
      <c r="S41" s="96"/>
    </row>
    <row r="42" spans="1:19" ht="13.2">
      <c r="A42" s="104" t="s">
        <v>310</v>
      </c>
      <c r="B42" s="33">
        <f>540+150</f>
        <v>690</v>
      </c>
      <c r="C42" s="33">
        <f>223+150</f>
        <v>373</v>
      </c>
      <c r="D42" s="33">
        <f>277+150</f>
        <v>427</v>
      </c>
      <c r="E42" s="106">
        <f t="shared" si="2"/>
        <v>1063</v>
      </c>
      <c r="F42" s="99">
        <v>0.4017</v>
      </c>
      <c r="H42" s="194"/>
      <c r="I42" s="170"/>
      <c r="J42" s="170"/>
      <c r="K42" s="171"/>
      <c r="L42" s="77"/>
      <c r="M42" s="194"/>
      <c r="N42" s="170"/>
      <c r="O42" s="171"/>
      <c r="Q42" s="157" t="s">
        <v>304</v>
      </c>
      <c r="R42" s="199" t="s">
        <v>468</v>
      </c>
      <c r="S42" s="162"/>
    </row>
    <row r="43" spans="1:19" ht="13.2">
      <c r="A43" s="104" t="s">
        <v>311</v>
      </c>
      <c r="B43" s="33">
        <f>402+150</f>
        <v>552</v>
      </c>
      <c r="C43" s="33">
        <f>238+150</f>
        <v>388</v>
      </c>
      <c r="D43" s="33">
        <f>262+150</f>
        <v>412</v>
      </c>
      <c r="E43" s="106">
        <f t="shared" si="2"/>
        <v>940</v>
      </c>
      <c r="F43" s="99">
        <v>0.43830000000000002</v>
      </c>
      <c r="H43" s="194"/>
      <c r="I43" s="170"/>
      <c r="J43" s="170"/>
      <c r="K43" s="171"/>
      <c r="L43" s="77"/>
      <c r="M43" s="194"/>
      <c r="N43" s="170"/>
      <c r="O43" s="171"/>
      <c r="Q43" s="196"/>
      <c r="R43" s="194"/>
      <c r="S43" s="171"/>
    </row>
    <row r="44" spans="1:19" ht="13.2">
      <c r="A44" s="104" t="s">
        <v>312</v>
      </c>
      <c r="B44" s="33">
        <f>310+150</f>
        <v>460</v>
      </c>
      <c r="C44" s="33">
        <f>272+150</f>
        <v>422</v>
      </c>
      <c r="D44" s="33">
        <f>228+150</f>
        <v>378</v>
      </c>
      <c r="E44" s="106">
        <f t="shared" si="2"/>
        <v>882</v>
      </c>
      <c r="F44" s="99">
        <v>0.42859999999999998</v>
      </c>
      <c r="H44" s="194"/>
      <c r="I44" s="170"/>
      <c r="J44" s="170"/>
      <c r="K44" s="171"/>
      <c r="L44" s="77"/>
      <c r="M44" s="194"/>
      <c r="N44" s="170"/>
      <c r="O44" s="171"/>
      <c r="Q44" s="196"/>
      <c r="R44" s="194"/>
      <c r="S44" s="171"/>
    </row>
    <row r="45" spans="1:19" ht="13.2">
      <c r="A45" s="104" t="s">
        <v>313</v>
      </c>
      <c r="B45" s="33">
        <f>278+150</f>
        <v>428</v>
      </c>
      <c r="C45" s="33">
        <f>291+150</f>
        <v>441</v>
      </c>
      <c r="D45" s="33">
        <f>209+150</f>
        <v>359</v>
      </c>
      <c r="E45" s="106">
        <f t="shared" si="2"/>
        <v>869</v>
      </c>
      <c r="F45" s="99">
        <v>0.41310000000000002</v>
      </c>
      <c r="H45" s="194"/>
      <c r="I45" s="170"/>
      <c r="J45" s="170"/>
      <c r="K45" s="171"/>
      <c r="L45" s="77"/>
      <c r="M45" s="194"/>
      <c r="N45" s="170"/>
      <c r="O45" s="171"/>
      <c r="P45" s="101"/>
      <c r="Q45" s="196"/>
      <c r="R45" s="194"/>
      <c r="S45" s="171"/>
    </row>
    <row r="46" spans="1:19" ht="13.2">
      <c r="A46" s="104" t="s">
        <v>314</v>
      </c>
      <c r="B46" s="33">
        <f>202+150</f>
        <v>352</v>
      </c>
      <c r="C46" s="33">
        <f>334+150</f>
        <v>484</v>
      </c>
      <c r="D46" s="33">
        <f>156+150</f>
        <v>306</v>
      </c>
      <c r="E46" s="106">
        <f t="shared" si="2"/>
        <v>836</v>
      </c>
      <c r="F46" s="99">
        <v>0.36599999999999999</v>
      </c>
      <c r="H46" s="194"/>
      <c r="I46" s="170"/>
      <c r="J46" s="170"/>
      <c r="K46" s="171"/>
      <c r="L46" s="77"/>
      <c r="M46" s="194"/>
      <c r="N46" s="170"/>
      <c r="O46" s="171"/>
      <c r="P46" s="101"/>
      <c r="Q46" s="196"/>
      <c r="R46" s="194"/>
      <c r="S46" s="171"/>
    </row>
    <row r="47" spans="1:19" ht="13.2">
      <c r="A47" s="104" t="s">
        <v>315</v>
      </c>
      <c r="B47" s="33">
        <f>160+150</f>
        <v>310</v>
      </c>
      <c r="C47" s="33">
        <f>363+150</f>
        <v>513</v>
      </c>
      <c r="D47" s="33">
        <f>137+150</f>
        <v>287</v>
      </c>
      <c r="E47" s="106">
        <f t="shared" si="2"/>
        <v>823</v>
      </c>
      <c r="F47" s="99">
        <v>0.34870000000000001</v>
      </c>
      <c r="H47" s="163"/>
      <c r="I47" s="164"/>
      <c r="J47" s="164"/>
      <c r="K47" s="165"/>
      <c r="L47" s="77"/>
      <c r="M47" s="163"/>
      <c r="N47" s="164"/>
      <c r="O47" s="165"/>
      <c r="P47" s="101"/>
      <c r="Q47" s="197"/>
      <c r="R47" s="163"/>
      <c r="S47" s="165"/>
    </row>
    <row r="48" spans="1:19" ht="13.2">
      <c r="A48" s="110"/>
    </row>
    <row r="49" spans="1:19" ht="13.2">
      <c r="A49" s="110"/>
      <c r="R49" s="86" t="s">
        <v>319</v>
      </c>
      <c r="S49" s="86" t="s">
        <v>320</v>
      </c>
    </row>
    <row r="50" spans="1:19" ht="13.2">
      <c r="A50" s="110"/>
      <c r="P50" s="157" t="s">
        <v>341</v>
      </c>
      <c r="Q50" s="162"/>
      <c r="R50" s="195" t="s">
        <v>332</v>
      </c>
      <c r="S50" s="195" t="s">
        <v>342</v>
      </c>
    </row>
    <row r="51" spans="1:19" ht="13.2">
      <c r="A51" s="110"/>
      <c r="P51" s="194"/>
      <c r="Q51" s="171"/>
      <c r="R51" s="196"/>
      <c r="S51" s="196"/>
    </row>
    <row r="52" spans="1:19" ht="13.2">
      <c r="A52" s="110"/>
      <c r="P52" s="194"/>
      <c r="Q52" s="171"/>
      <c r="R52" s="196"/>
      <c r="S52" s="196"/>
    </row>
    <row r="53" spans="1:19" ht="13.2">
      <c r="A53" s="110"/>
      <c r="P53" s="194"/>
      <c r="Q53" s="171"/>
      <c r="R53" s="196"/>
      <c r="S53" s="196"/>
    </row>
    <row r="54" spans="1:19" ht="13.2">
      <c r="A54" s="110"/>
      <c r="P54" s="194"/>
      <c r="Q54" s="171"/>
      <c r="R54" s="196"/>
      <c r="S54" s="196"/>
    </row>
    <row r="55" spans="1:19" ht="13.2">
      <c r="A55" s="110"/>
      <c r="P55" s="163"/>
      <c r="Q55" s="165"/>
      <c r="R55" s="197"/>
      <c r="S55" s="197"/>
    </row>
    <row r="56" spans="1:19" ht="13.2">
      <c r="A56" s="110"/>
      <c r="Q56" s="78"/>
      <c r="R56" s="78"/>
      <c r="S56" s="78"/>
    </row>
    <row r="57" spans="1:19" ht="13.2">
      <c r="A57" s="110"/>
      <c r="Q57" s="78"/>
      <c r="R57" s="78"/>
      <c r="S57" s="78"/>
    </row>
    <row r="58" spans="1:19" ht="13.2">
      <c r="A58" s="110"/>
      <c r="Q58" s="157" t="s">
        <v>343</v>
      </c>
      <c r="R58" s="199" t="s">
        <v>344</v>
      </c>
      <c r="S58" s="162"/>
    </row>
    <row r="59" spans="1:19" ht="13.2">
      <c r="A59" s="110"/>
      <c r="Q59" s="196"/>
      <c r="R59" s="194"/>
      <c r="S59" s="171"/>
    </row>
    <row r="60" spans="1:19" ht="13.2">
      <c r="A60" s="110"/>
      <c r="Q60" s="196"/>
      <c r="R60" s="194"/>
      <c r="S60" s="171"/>
    </row>
    <row r="61" spans="1:19" ht="13.2">
      <c r="A61" s="110"/>
      <c r="Q61" s="196"/>
      <c r="R61" s="194"/>
      <c r="S61" s="171"/>
    </row>
    <row r="62" spans="1:19" ht="13.2">
      <c r="A62" s="110"/>
      <c r="Q62" s="196"/>
      <c r="R62" s="194"/>
      <c r="S62" s="171"/>
    </row>
    <row r="63" spans="1:19" ht="13.2">
      <c r="A63" s="110"/>
      <c r="Q63" s="197"/>
      <c r="R63" s="163"/>
      <c r="S63" s="165"/>
    </row>
  </sheetData>
  <mergeCells count="43">
    <mergeCell ref="A1:S1"/>
    <mergeCell ref="A9:I9"/>
    <mergeCell ref="H37:K47"/>
    <mergeCell ref="S14:S16"/>
    <mergeCell ref="Q30:Q35"/>
    <mergeCell ref="A11:I11"/>
    <mergeCell ref="B15:F15"/>
    <mergeCell ref="S38:S40"/>
    <mergeCell ref="A6:I6"/>
    <mergeCell ref="H25:K35"/>
    <mergeCell ref="A25:F25"/>
    <mergeCell ref="Q58:Q63"/>
    <mergeCell ref="A8:I8"/>
    <mergeCell ref="Q14:R16"/>
    <mergeCell ref="A4:I4"/>
    <mergeCell ref="Q26:R28"/>
    <mergeCell ref="A38:F38"/>
    <mergeCell ref="M38:O47"/>
    <mergeCell ref="R58:S63"/>
    <mergeCell ref="M14:O23"/>
    <mergeCell ref="R18:S23"/>
    <mergeCell ref="Q38:R40"/>
    <mergeCell ref="H13:K23"/>
    <mergeCell ref="A10:I10"/>
    <mergeCell ref="A13:F13"/>
    <mergeCell ref="R50:R55"/>
    <mergeCell ref="P50:Q55"/>
    <mergeCell ref="A2:I2"/>
    <mergeCell ref="R42:S47"/>
    <mergeCell ref="A5:I5"/>
    <mergeCell ref="A14:F14"/>
    <mergeCell ref="Q42:Q47"/>
    <mergeCell ref="M26:O35"/>
    <mergeCell ref="A7:I7"/>
    <mergeCell ref="R30:S35"/>
    <mergeCell ref="A37:F37"/>
    <mergeCell ref="S50:S55"/>
    <mergeCell ref="A3:I3"/>
    <mergeCell ref="A26:F26"/>
    <mergeCell ref="B27:F27"/>
    <mergeCell ref="Q18:Q23"/>
    <mergeCell ref="S26:S28"/>
    <mergeCell ref="B39:F39"/>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62"/>
  <sheetViews>
    <sheetView showGridLines="0" topLeftCell="H51" workbookViewId="0">
      <selection activeCell="R29" sqref="R29:S34"/>
    </sheetView>
  </sheetViews>
  <sheetFormatPr defaultColWidth="12.6640625" defaultRowHeight="15.75" customHeight="1"/>
  <cols>
    <col min="2" max="2" width="10.109375" customWidth="1"/>
    <col min="3" max="3" width="15.21875" customWidth="1"/>
    <col min="4" max="4" width="15.77734375" customWidth="1"/>
    <col min="5" max="5" width="7.88671875" customWidth="1"/>
    <col min="6" max="6" width="10" customWidth="1"/>
    <col min="19" max="19" width="23.6640625" customWidth="1"/>
  </cols>
  <sheetData>
    <row r="1" spans="1:19" ht="15.75" customHeight="1">
      <c r="A1" s="204" t="s">
        <v>19</v>
      </c>
      <c r="B1" s="158"/>
      <c r="C1" s="158"/>
      <c r="D1" s="158"/>
      <c r="E1" s="158"/>
      <c r="F1" s="158"/>
      <c r="G1" s="158"/>
      <c r="H1" s="158"/>
      <c r="I1" s="158"/>
      <c r="J1" s="158"/>
      <c r="K1" s="158"/>
      <c r="L1" s="158"/>
      <c r="M1" s="158"/>
      <c r="N1" s="158"/>
      <c r="O1" s="158"/>
      <c r="P1" s="158"/>
      <c r="Q1" s="158"/>
      <c r="R1" s="158"/>
      <c r="S1" s="159"/>
    </row>
    <row r="2" spans="1:19">
      <c r="A2" s="185" t="s">
        <v>326</v>
      </c>
      <c r="B2" s="158"/>
      <c r="C2" s="158"/>
      <c r="D2" s="158"/>
      <c r="E2" s="158"/>
      <c r="F2" s="158"/>
      <c r="G2" s="158"/>
      <c r="H2" s="158"/>
      <c r="I2" s="158"/>
      <c r="J2" s="159"/>
      <c r="K2" s="76"/>
      <c r="L2" s="76"/>
      <c r="M2" s="76"/>
      <c r="N2" s="76"/>
      <c r="O2" s="76"/>
      <c r="P2" s="77"/>
      <c r="R2" s="78"/>
      <c r="S2" s="78"/>
    </row>
    <row r="3" spans="1:19">
      <c r="A3" s="184" t="s">
        <v>284</v>
      </c>
      <c r="B3" s="158"/>
      <c r="C3" s="158"/>
      <c r="D3" s="158"/>
      <c r="E3" s="158"/>
      <c r="F3" s="158"/>
      <c r="G3" s="158"/>
      <c r="H3" s="158"/>
      <c r="I3" s="158"/>
      <c r="J3" s="159"/>
      <c r="K3" s="76"/>
      <c r="L3" s="76"/>
      <c r="M3" s="76"/>
      <c r="N3" s="76"/>
      <c r="O3" s="76"/>
      <c r="P3" s="77"/>
      <c r="R3" s="78"/>
      <c r="S3" s="78"/>
    </row>
    <row r="4" spans="1:19">
      <c r="A4" s="167" t="s">
        <v>345</v>
      </c>
      <c r="B4" s="164"/>
      <c r="C4" s="164"/>
      <c r="D4" s="164"/>
      <c r="E4" s="164"/>
      <c r="F4" s="164"/>
      <c r="G4" s="164"/>
      <c r="H4" s="164"/>
      <c r="I4" s="164"/>
      <c r="J4" s="165"/>
      <c r="K4" s="76"/>
      <c r="L4" s="76"/>
      <c r="M4" s="76"/>
      <c r="N4" s="76"/>
      <c r="O4" s="76"/>
      <c r="P4" s="77"/>
      <c r="R4" s="78"/>
      <c r="S4" s="78"/>
    </row>
    <row r="5" spans="1:19">
      <c r="A5" s="185" t="s">
        <v>346</v>
      </c>
      <c r="B5" s="158"/>
      <c r="C5" s="158"/>
      <c r="D5" s="158"/>
      <c r="E5" s="158"/>
      <c r="F5" s="158"/>
      <c r="G5" s="158"/>
      <c r="H5" s="158"/>
      <c r="I5" s="158"/>
      <c r="J5" s="159"/>
      <c r="K5" s="76"/>
      <c r="L5" s="76"/>
      <c r="M5" s="76"/>
      <c r="N5" s="76"/>
      <c r="O5" s="76"/>
      <c r="P5" s="77"/>
      <c r="R5" s="78"/>
      <c r="S5" s="78"/>
    </row>
    <row r="6" spans="1:19">
      <c r="A6" s="207" t="s">
        <v>329</v>
      </c>
      <c r="B6" s="158"/>
      <c r="C6" s="158"/>
      <c r="D6" s="158"/>
      <c r="E6" s="158"/>
      <c r="F6" s="158"/>
      <c r="G6" s="158"/>
      <c r="H6" s="158"/>
      <c r="I6" s="158"/>
      <c r="J6" s="159"/>
      <c r="K6" s="79"/>
      <c r="L6" s="79"/>
      <c r="M6" s="79"/>
      <c r="N6" s="79"/>
      <c r="O6" s="79"/>
      <c r="P6" s="77"/>
      <c r="R6" s="78"/>
      <c r="S6" s="78"/>
    </row>
    <row r="7" spans="1:19">
      <c r="A7" s="207" t="s">
        <v>289</v>
      </c>
      <c r="B7" s="158"/>
      <c r="C7" s="158"/>
      <c r="D7" s="158"/>
      <c r="E7" s="158"/>
      <c r="F7" s="158"/>
      <c r="G7" s="158"/>
      <c r="H7" s="158"/>
      <c r="I7" s="158"/>
      <c r="J7" s="159"/>
      <c r="K7" s="79"/>
      <c r="L7" s="79"/>
      <c r="M7" s="79"/>
      <c r="N7" s="79"/>
      <c r="O7" s="79"/>
      <c r="P7" s="77"/>
      <c r="R7" s="78"/>
      <c r="S7" s="78"/>
    </row>
    <row r="8" spans="1:19">
      <c r="A8" s="207" t="s">
        <v>347</v>
      </c>
      <c r="B8" s="158"/>
      <c r="C8" s="158"/>
      <c r="D8" s="158"/>
      <c r="E8" s="158"/>
      <c r="F8" s="158"/>
      <c r="G8" s="158"/>
      <c r="H8" s="158"/>
      <c r="I8" s="158"/>
      <c r="J8" s="159"/>
      <c r="K8" s="79"/>
      <c r="L8" s="79"/>
      <c r="M8" s="79"/>
      <c r="N8" s="79"/>
      <c r="O8" s="79"/>
      <c r="P8" s="77"/>
      <c r="R8" s="78"/>
      <c r="S8" s="78"/>
    </row>
    <row r="9" spans="1:19">
      <c r="A9" s="207" t="s">
        <v>291</v>
      </c>
      <c r="B9" s="158"/>
      <c r="C9" s="158"/>
      <c r="D9" s="158"/>
      <c r="E9" s="158"/>
      <c r="F9" s="158"/>
      <c r="G9" s="158"/>
      <c r="H9" s="158"/>
      <c r="I9" s="158"/>
      <c r="J9" s="159"/>
      <c r="K9" s="79"/>
      <c r="L9" s="79"/>
      <c r="M9" s="79"/>
      <c r="N9" s="79"/>
      <c r="O9" s="79"/>
      <c r="P9" s="77"/>
      <c r="R9" s="78"/>
      <c r="S9" s="78"/>
    </row>
    <row r="10" spans="1:19">
      <c r="A10" s="207" t="s">
        <v>348</v>
      </c>
      <c r="B10" s="158"/>
      <c r="C10" s="158"/>
      <c r="D10" s="158"/>
      <c r="E10" s="158"/>
      <c r="F10" s="158"/>
      <c r="G10" s="158"/>
      <c r="H10" s="158"/>
      <c r="I10" s="158"/>
      <c r="J10" s="159"/>
      <c r="K10" s="79"/>
      <c r="L10" s="79"/>
      <c r="M10" s="79"/>
      <c r="N10" s="79"/>
      <c r="O10" s="79"/>
      <c r="P10" s="77"/>
    </row>
    <row r="11" spans="1:19">
      <c r="A11" s="202" t="s">
        <v>37</v>
      </c>
      <c r="B11" s="170"/>
      <c r="C11" s="170"/>
      <c r="D11" s="170"/>
      <c r="E11" s="170"/>
      <c r="F11" s="170"/>
      <c r="G11" s="170"/>
      <c r="H11" s="170"/>
      <c r="I11" s="170"/>
      <c r="J11" s="84"/>
      <c r="K11" s="84"/>
      <c r="L11" s="84"/>
      <c r="M11" s="84"/>
      <c r="N11" s="84"/>
      <c r="O11" s="84"/>
      <c r="P11" s="77"/>
      <c r="R11" s="78"/>
      <c r="S11" s="78"/>
    </row>
    <row r="12" spans="1:19">
      <c r="A12" s="200" t="s">
        <v>349</v>
      </c>
      <c r="B12" s="158"/>
      <c r="C12" s="158"/>
      <c r="D12" s="158"/>
      <c r="E12" s="158"/>
      <c r="F12" s="159"/>
      <c r="H12" s="209"/>
      <c r="I12" s="161"/>
      <c r="J12" s="161"/>
      <c r="K12" s="162"/>
      <c r="L12" s="77"/>
      <c r="M12" s="77"/>
      <c r="N12" s="77"/>
      <c r="O12" s="77"/>
    </row>
    <row r="13" spans="1:19" ht="13.2">
      <c r="A13" s="200" t="s">
        <v>350</v>
      </c>
      <c r="B13" s="158"/>
      <c r="C13" s="158"/>
      <c r="D13" s="158"/>
      <c r="E13" s="158"/>
      <c r="F13" s="159"/>
      <c r="H13" s="194"/>
      <c r="I13" s="170"/>
      <c r="J13" s="170"/>
      <c r="K13" s="171"/>
      <c r="L13" s="77"/>
      <c r="M13" s="201" t="s">
        <v>477</v>
      </c>
      <c r="N13" s="161"/>
      <c r="O13" s="162"/>
      <c r="Q13" s="157" t="s">
        <v>351</v>
      </c>
      <c r="R13" s="162"/>
      <c r="S13" s="199" t="s">
        <v>467</v>
      </c>
    </row>
    <row r="14" spans="1:19">
      <c r="A14" s="4" t="s">
        <v>335</v>
      </c>
      <c r="B14" s="200" t="s">
        <v>297</v>
      </c>
      <c r="C14" s="158"/>
      <c r="D14" s="158"/>
      <c r="E14" s="158"/>
      <c r="F14" s="159"/>
      <c r="H14" s="194"/>
      <c r="I14" s="170"/>
      <c r="J14" s="170"/>
      <c r="K14" s="171"/>
      <c r="L14" s="77"/>
      <c r="M14" s="194"/>
      <c r="N14" s="170"/>
      <c r="O14" s="171"/>
      <c r="Q14" s="194"/>
      <c r="R14" s="171"/>
      <c r="S14" s="196"/>
    </row>
    <row r="15" spans="1:19">
      <c r="A15" s="102" t="s">
        <v>336</v>
      </c>
      <c r="B15" s="103" t="s">
        <v>299</v>
      </c>
      <c r="C15" s="103" t="s">
        <v>300</v>
      </c>
      <c r="D15" s="103" t="s">
        <v>301</v>
      </c>
      <c r="E15" s="103" t="s">
        <v>302</v>
      </c>
      <c r="F15" s="103" t="s">
        <v>303</v>
      </c>
      <c r="G15" s="110"/>
      <c r="H15" s="194"/>
      <c r="I15" s="170"/>
      <c r="J15" s="170"/>
      <c r="K15" s="171"/>
      <c r="L15" s="77"/>
      <c r="M15" s="194"/>
      <c r="N15" s="170"/>
      <c r="O15" s="171"/>
      <c r="Q15" s="163"/>
      <c r="R15" s="165"/>
      <c r="S15" s="197"/>
    </row>
    <row r="16" spans="1:19">
      <c r="A16" s="104" t="s">
        <v>309</v>
      </c>
      <c r="B16" s="33">
        <f>954+150+100</f>
        <v>1204</v>
      </c>
      <c r="C16" s="33">
        <f>192+150</f>
        <v>342</v>
      </c>
      <c r="D16" s="105">
        <f>303+300</f>
        <v>603</v>
      </c>
      <c r="E16" s="106">
        <f t="shared" ref="E16:E22" si="0">B16+C16</f>
        <v>1546</v>
      </c>
      <c r="F16" s="93">
        <v>0.39</v>
      </c>
      <c r="H16" s="194"/>
      <c r="I16" s="170"/>
      <c r="J16" s="170"/>
      <c r="K16" s="171"/>
      <c r="L16" s="77"/>
      <c r="M16" s="194"/>
      <c r="N16" s="170"/>
      <c r="O16" s="171"/>
      <c r="Q16" s="95"/>
      <c r="R16" s="78"/>
      <c r="S16" s="96"/>
    </row>
    <row r="17" spans="1:19" ht="13.2">
      <c r="A17" s="104" t="s">
        <v>310</v>
      </c>
      <c r="B17" s="33">
        <f>540+150+100</f>
        <v>790</v>
      </c>
      <c r="C17" s="33">
        <f>223+150</f>
        <v>373</v>
      </c>
      <c r="D17" s="33">
        <f>277+150</f>
        <v>427</v>
      </c>
      <c r="E17" s="106">
        <f t="shared" si="0"/>
        <v>1163</v>
      </c>
      <c r="F17" s="99">
        <v>0.36720000000000003</v>
      </c>
      <c r="H17" s="194"/>
      <c r="I17" s="170"/>
      <c r="J17" s="170"/>
      <c r="K17" s="171"/>
      <c r="L17" s="77"/>
      <c r="M17" s="194"/>
      <c r="N17" s="170"/>
      <c r="O17" s="171"/>
      <c r="Q17" s="157" t="s">
        <v>304</v>
      </c>
      <c r="R17" s="199" t="s">
        <v>478</v>
      </c>
      <c r="S17" s="162"/>
    </row>
    <row r="18" spans="1:19">
      <c r="A18" s="104" t="s">
        <v>311</v>
      </c>
      <c r="B18" s="33">
        <f>402+150+100</f>
        <v>652</v>
      </c>
      <c r="C18" s="33">
        <f>238+150</f>
        <v>388</v>
      </c>
      <c r="D18" s="33">
        <f>262+150</f>
        <v>412</v>
      </c>
      <c r="E18" s="106">
        <f t="shared" si="0"/>
        <v>1040</v>
      </c>
      <c r="F18" s="99">
        <v>0.3962</v>
      </c>
      <c r="H18" s="194"/>
      <c r="I18" s="170"/>
      <c r="J18" s="170"/>
      <c r="K18" s="171"/>
      <c r="L18" s="77"/>
      <c r="M18" s="194"/>
      <c r="N18" s="170"/>
      <c r="O18" s="171"/>
      <c r="Q18" s="196"/>
      <c r="R18" s="194"/>
      <c r="S18" s="171"/>
    </row>
    <row r="19" spans="1:19">
      <c r="A19" s="104" t="s">
        <v>312</v>
      </c>
      <c r="B19" s="33">
        <f>310+150+100</f>
        <v>560</v>
      </c>
      <c r="C19" s="33">
        <f>272+150</f>
        <v>422</v>
      </c>
      <c r="D19" s="33">
        <f>228+150</f>
        <v>378</v>
      </c>
      <c r="E19" s="106">
        <f t="shared" si="0"/>
        <v>982</v>
      </c>
      <c r="F19" s="99">
        <v>0.38490000000000002</v>
      </c>
      <c r="H19" s="194"/>
      <c r="I19" s="170"/>
      <c r="J19" s="170"/>
      <c r="K19" s="171"/>
      <c r="L19" s="77"/>
      <c r="M19" s="194"/>
      <c r="N19" s="170"/>
      <c r="O19" s="171"/>
      <c r="Q19" s="196"/>
      <c r="R19" s="194"/>
      <c r="S19" s="171"/>
    </row>
    <row r="20" spans="1:19">
      <c r="A20" s="104" t="s">
        <v>313</v>
      </c>
      <c r="B20" s="33">
        <f>278+150+100</f>
        <v>528</v>
      </c>
      <c r="C20" s="33">
        <f>291+150</f>
        <v>441</v>
      </c>
      <c r="D20" s="33">
        <f>209+150</f>
        <v>359</v>
      </c>
      <c r="E20" s="106">
        <f t="shared" si="0"/>
        <v>969</v>
      </c>
      <c r="F20" s="99">
        <v>0.3705</v>
      </c>
      <c r="H20" s="194"/>
      <c r="I20" s="170"/>
      <c r="J20" s="170"/>
      <c r="K20" s="171"/>
      <c r="L20" s="77"/>
      <c r="M20" s="194"/>
      <c r="N20" s="170"/>
      <c r="O20" s="171"/>
      <c r="P20" s="101"/>
      <c r="Q20" s="196"/>
      <c r="R20" s="194"/>
      <c r="S20" s="171"/>
    </row>
    <row r="21" spans="1:19">
      <c r="A21" s="104" t="s">
        <v>314</v>
      </c>
      <c r="B21" s="33">
        <f>202+150+100</f>
        <v>452</v>
      </c>
      <c r="C21" s="33">
        <f>334+150</f>
        <v>484</v>
      </c>
      <c r="D21" s="33">
        <f>156+150</f>
        <v>306</v>
      </c>
      <c r="E21" s="106">
        <f t="shared" si="0"/>
        <v>936</v>
      </c>
      <c r="F21" s="99">
        <v>0.32690000000000002</v>
      </c>
      <c r="H21" s="194"/>
      <c r="I21" s="170"/>
      <c r="J21" s="170"/>
      <c r="K21" s="171"/>
      <c r="L21" s="77"/>
      <c r="M21" s="194"/>
      <c r="N21" s="170"/>
      <c r="O21" s="171"/>
      <c r="P21" s="101"/>
      <c r="Q21" s="196"/>
      <c r="R21" s="194"/>
      <c r="S21" s="171"/>
    </row>
    <row r="22" spans="1:19">
      <c r="A22" s="104" t="s">
        <v>315</v>
      </c>
      <c r="B22" s="33">
        <f>160+150+100</f>
        <v>410</v>
      </c>
      <c r="C22" s="33">
        <f>363+150</f>
        <v>513</v>
      </c>
      <c r="D22" s="33">
        <f>137+150</f>
        <v>287</v>
      </c>
      <c r="E22" s="106">
        <f t="shared" si="0"/>
        <v>923</v>
      </c>
      <c r="F22" s="99">
        <v>0.31090000000000001</v>
      </c>
      <c r="H22" s="163"/>
      <c r="I22" s="164"/>
      <c r="J22" s="164"/>
      <c r="K22" s="165"/>
      <c r="L22" s="77"/>
      <c r="M22" s="163"/>
      <c r="N22" s="164"/>
      <c r="O22" s="165"/>
      <c r="P22" s="101"/>
      <c r="Q22" s="197"/>
      <c r="R22" s="163"/>
      <c r="S22" s="165"/>
    </row>
    <row r="23" spans="1:19">
      <c r="A23" s="110"/>
      <c r="C23" s="100"/>
    </row>
    <row r="24" spans="1:19">
      <c r="A24" s="200" t="s">
        <v>352</v>
      </c>
      <c r="B24" s="158"/>
      <c r="C24" s="158"/>
      <c r="D24" s="158"/>
      <c r="E24" s="158"/>
      <c r="F24" s="159"/>
      <c r="H24" s="209"/>
      <c r="I24" s="161"/>
      <c r="J24" s="161"/>
      <c r="K24" s="162"/>
      <c r="L24" s="77"/>
      <c r="M24" s="77"/>
      <c r="N24" s="77"/>
      <c r="O24" s="77"/>
    </row>
    <row r="25" spans="1:19" ht="13.2">
      <c r="A25" s="200" t="s">
        <v>353</v>
      </c>
      <c r="B25" s="158"/>
      <c r="C25" s="158"/>
      <c r="D25" s="158"/>
      <c r="E25" s="158"/>
      <c r="F25" s="159"/>
      <c r="H25" s="194"/>
      <c r="I25" s="170"/>
      <c r="J25" s="170"/>
      <c r="K25" s="171"/>
      <c r="L25" s="77"/>
      <c r="M25" s="201" t="s">
        <v>479</v>
      </c>
      <c r="N25" s="161"/>
      <c r="O25" s="162"/>
      <c r="Q25" s="157" t="s">
        <v>351</v>
      </c>
      <c r="R25" s="162"/>
      <c r="S25" s="199" t="s">
        <v>487</v>
      </c>
    </row>
    <row r="26" spans="1:19">
      <c r="A26" s="4" t="s">
        <v>335</v>
      </c>
      <c r="B26" s="200" t="s">
        <v>297</v>
      </c>
      <c r="C26" s="158"/>
      <c r="D26" s="158"/>
      <c r="E26" s="158"/>
      <c r="F26" s="159"/>
      <c r="H26" s="194"/>
      <c r="I26" s="170"/>
      <c r="J26" s="170"/>
      <c r="K26" s="171"/>
      <c r="L26" s="77"/>
      <c r="M26" s="194"/>
      <c r="N26" s="170"/>
      <c r="O26" s="171"/>
      <c r="Q26" s="194"/>
      <c r="R26" s="171"/>
      <c r="S26" s="196"/>
    </row>
    <row r="27" spans="1:19">
      <c r="A27" s="102" t="s">
        <v>336</v>
      </c>
      <c r="B27" s="103" t="s">
        <v>299</v>
      </c>
      <c r="C27" s="103" t="s">
        <v>300</v>
      </c>
      <c r="D27" s="103" t="s">
        <v>301</v>
      </c>
      <c r="E27" s="103" t="s">
        <v>302</v>
      </c>
      <c r="F27" s="103" t="s">
        <v>303</v>
      </c>
      <c r="G27" s="110"/>
      <c r="H27" s="194"/>
      <c r="I27" s="170"/>
      <c r="J27" s="170"/>
      <c r="K27" s="171"/>
      <c r="L27" s="77"/>
      <c r="M27" s="194"/>
      <c r="N27" s="170"/>
      <c r="O27" s="171"/>
      <c r="Q27" s="163"/>
      <c r="R27" s="165"/>
      <c r="S27" s="197"/>
    </row>
    <row r="28" spans="1:19">
      <c r="A28" s="104" t="s">
        <v>309</v>
      </c>
      <c r="B28" s="33">
        <f>954+150+100</f>
        <v>1204</v>
      </c>
      <c r="C28" s="33">
        <v>200</v>
      </c>
      <c r="D28" s="105">
        <v>800</v>
      </c>
      <c r="E28" s="106">
        <f t="shared" ref="E28:E34" si="1">B28+C28</f>
        <v>1404</v>
      </c>
      <c r="F28" s="99">
        <v>0.56979999999999997</v>
      </c>
      <c r="H28" s="194"/>
      <c r="I28" s="170"/>
      <c r="J28" s="170"/>
      <c r="K28" s="171"/>
      <c r="L28" s="77"/>
      <c r="M28" s="194"/>
      <c r="N28" s="170"/>
      <c r="O28" s="171"/>
      <c r="Q28" s="95"/>
      <c r="R28" s="78"/>
      <c r="S28" s="96"/>
    </row>
    <row r="29" spans="1:19" ht="13.2">
      <c r="A29" s="104" t="s">
        <v>310</v>
      </c>
      <c r="B29" s="33">
        <f>540+150+100</f>
        <v>790</v>
      </c>
      <c r="C29" s="33">
        <f>223+150</f>
        <v>373</v>
      </c>
      <c r="D29" s="33">
        <f>277+150+200</f>
        <v>627</v>
      </c>
      <c r="E29" s="106">
        <f t="shared" si="1"/>
        <v>1163</v>
      </c>
      <c r="F29" s="99">
        <v>0.53910000000000002</v>
      </c>
      <c r="H29" s="194"/>
      <c r="I29" s="170"/>
      <c r="J29" s="170"/>
      <c r="K29" s="171"/>
      <c r="L29" s="77"/>
      <c r="M29" s="194"/>
      <c r="N29" s="170"/>
      <c r="O29" s="171"/>
      <c r="Q29" s="157" t="s">
        <v>304</v>
      </c>
      <c r="R29" s="199" t="s">
        <v>488</v>
      </c>
      <c r="S29" s="162"/>
    </row>
    <row r="30" spans="1:19" ht="13.2">
      <c r="A30" s="104" t="s">
        <v>311</v>
      </c>
      <c r="B30" s="33">
        <v>620</v>
      </c>
      <c r="C30" s="33">
        <f>238+150</f>
        <v>388</v>
      </c>
      <c r="D30" s="33">
        <f>262+150+120</f>
        <v>532</v>
      </c>
      <c r="E30" s="106">
        <f t="shared" si="1"/>
        <v>1008</v>
      </c>
      <c r="F30" s="99">
        <v>0.52780000000000005</v>
      </c>
      <c r="H30" s="194"/>
      <c r="I30" s="170"/>
      <c r="J30" s="170"/>
      <c r="K30" s="171"/>
      <c r="L30" s="77"/>
      <c r="M30" s="194"/>
      <c r="N30" s="170"/>
      <c r="O30" s="171"/>
      <c r="Q30" s="196"/>
      <c r="R30" s="194"/>
      <c r="S30" s="171"/>
    </row>
    <row r="31" spans="1:19" ht="13.2">
      <c r="A31" s="104" t="s">
        <v>312</v>
      </c>
      <c r="B31" s="33">
        <v>510</v>
      </c>
      <c r="C31" s="33">
        <f>272+150-50</f>
        <v>372</v>
      </c>
      <c r="D31" s="33">
        <f>228+150+80</f>
        <v>458</v>
      </c>
      <c r="E31" s="106">
        <f t="shared" si="1"/>
        <v>882</v>
      </c>
      <c r="F31" s="99">
        <v>0.51929999999999998</v>
      </c>
      <c r="H31" s="194"/>
      <c r="I31" s="170"/>
      <c r="J31" s="170"/>
      <c r="K31" s="171"/>
      <c r="L31" s="77"/>
      <c r="M31" s="194"/>
      <c r="N31" s="170"/>
      <c r="O31" s="171"/>
      <c r="Q31" s="196"/>
      <c r="R31" s="194"/>
      <c r="S31" s="171"/>
    </row>
    <row r="32" spans="1:19" ht="13.2">
      <c r="A32" s="104" t="s">
        <v>313</v>
      </c>
      <c r="B32" s="33">
        <v>272</v>
      </c>
      <c r="C32" s="33">
        <f>291+150</f>
        <v>441</v>
      </c>
      <c r="D32" s="33">
        <f>209+150</f>
        <v>359</v>
      </c>
      <c r="E32" s="106">
        <f t="shared" si="1"/>
        <v>713</v>
      </c>
      <c r="F32" s="99">
        <v>0.50349999999999995</v>
      </c>
      <c r="H32" s="194"/>
      <c r="I32" s="170"/>
      <c r="J32" s="170"/>
      <c r="K32" s="171"/>
      <c r="L32" s="77"/>
      <c r="M32" s="194"/>
      <c r="N32" s="170"/>
      <c r="O32" s="171"/>
      <c r="P32" s="101"/>
      <c r="Q32" s="196"/>
      <c r="R32" s="194"/>
      <c r="S32" s="171"/>
    </row>
    <row r="33" spans="1:19" ht="13.2">
      <c r="A33" s="104" t="s">
        <v>314</v>
      </c>
      <c r="B33" s="33">
        <v>135</v>
      </c>
      <c r="C33" s="33">
        <f>334+150</f>
        <v>484</v>
      </c>
      <c r="D33" s="33">
        <f>156+150</f>
        <v>306</v>
      </c>
      <c r="E33" s="106">
        <f t="shared" si="1"/>
        <v>619</v>
      </c>
      <c r="F33" s="99">
        <v>0.49430000000000002</v>
      </c>
      <c r="H33" s="194"/>
      <c r="I33" s="170"/>
      <c r="J33" s="170"/>
      <c r="K33" s="171"/>
      <c r="L33" s="77"/>
      <c r="M33" s="194"/>
      <c r="N33" s="170"/>
      <c r="O33" s="171"/>
      <c r="P33" s="101"/>
      <c r="Q33" s="196"/>
      <c r="R33" s="194"/>
      <c r="S33" s="171"/>
    </row>
    <row r="34" spans="1:19" ht="13.2">
      <c r="A34" s="104" t="s">
        <v>315</v>
      </c>
      <c r="B34" s="33">
        <v>50</v>
      </c>
      <c r="C34" s="33">
        <v>590</v>
      </c>
      <c r="D34" s="33">
        <v>300</v>
      </c>
      <c r="E34" s="106">
        <f t="shared" si="1"/>
        <v>640</v>
      </c>
      <c r="F34" s="99">
        <v>0.46879999999999999</v>
      </c>
      <c r="H34" s="163"/>
      <c r="I34" s="164"/>
      <c r="J34" s="164"/>
      <c r="K34" s="165"/>
      <c r="L34" s="77"/>
      <c r="M34" s="163"/>
      <c r="N34" s="164"/>
      <c r="O34" s="165"/>
      <c r="P34" s="101"/>
      <c r="Q34" s="197"/>
      <c r="R34" s="163"/>
      <c r="S34" s="165"/>
    </row>
    <row r="35" spans="1:19" ht="13.2">
      <c r="A35" s="110"/>
    </row>
    <row r="36" spans="1:19" ht="13.2">
      <c r="A36" s="200" t="s">
        <v>354</v>
      </c>
      <c r="B36" s="158"/>
      <c r="C36" s="158"/>
      <c r="D36" s="158"/>
      <c r="E36" s="158"/>
      <c r="F36" s="159"/>
      <c r="H36" s="209"/>
      <c r="I36" s="161"/>
      <c r="J36" s="161"/>
      <c r="K36" s="162"/>
      <c r="L36" s="77"/>
      <c r="M36" s="77"/>
      <c r="N36" s="77"/>
      <c r="O36" s="77"/>
    </row>
    <row r="37" spans="1:19" ht="13.2">
      <c r="A37" s="200" t="s">
        <v>355</v>
      </c>
      <c r="B37" s="158"/>
      <c r="C37" s="158"/>
      <c r="D37" s="158"/>
      <c r="E37" s="158"/>
      <c r="F37" s="159"/>
      <c r="H37" s="194"/>
      <c r="I37" s="170"/>
      <c r="J37" s="170"/>
      <c r="K37" s="171"/>
      <c r="L37" s="77"/>
      <c r="M37" s="201" t="s">
        <v>484</v>
      </c>
      <c r="N37" s="161"/>
      <c r="O37" s="162"/>
      <c r="Q37" s="157" t="s">
        <v>351</v>
      </c>
      <c r="R37" s="162"/>
      <c r="S37" s="199" t="s">
        <v>485</v>
      </c>
    </row>
    <row r="38" spans="1:19" ht="13.2">
      <c r="A38" s="4" t="s">
        <v>335</v>
      </c>
      <c r="B38" s="200" t="s">
        <v>297</v>
      </c>
      <c r="C38" s="158"/>
      <c r="D38" s="158"/>
      <c r="E38" s="158"/>
      <c r="F38" s="159"/>
      <c r="H38" s="194"/>
      <c r="I38" s="170"/>
      <c r="J38" s="170"/>
      <c r="K38" s="171"/>
      <c r="L38" s="77"/>
      <c r="M38" s="194"/>
      <c r="N38" s="170"/>
      <c r="O38" s="171"/>
      <c r="Q38" s="194"/>
      <c r="R38" s="171"/>
      <c r="S38" s="196"/>
    </row>
    <row r="39" spans="1:19" ht="39.6">
      <c r="A39" s="102" t="s">
        <v>356</v>
      </c>
      <c r="B39" s="103" t="s">
        <v>299</v>
      </c>
      <c r="C39" s="103" t="s">
        <v>300</v>
      </c>
      <c r="D39" s="103" t="s">
        <v>301</v>
      </c>
      <c r="E39" s="103" t="s">
        <v>302</v>
      </c>
      <c r="F39" s="103" t="s">
        <v>303</v>
      </c>
      <c r="G39" s="110"/>
      <c r="H39" s="194"/>
      <c r="I39" s="170"/>
      <c r="J39" s="170"/>
      <c r="K39" s="171"/>
      <c r="L39" s="77"/>
      <c r="M39" s="194"/>
      <c r="N39" s="170"/>
      <c r="O39" s="171"/>
      <c r="Q39" s="163"/>
      <c r="R39" s="165"/>
      <c r="S39" s="197"/>
    </row>
    <row r="40" spans="1:19" ht="13.8">
      <c r="A40" s="104" t="s">
        <v>309</v>
      </c>
      <c r="B40" s="33">
        <f>954-750+100</f>
        <v>304</v>
      </c>
      <c r="C40" s="33">
        <f>192+150</f>
        <v>342</v>
      </c>
      <c r="D40" s="105">
        <f>303+150</f>
        <v>453</v>
      </c>
      <c r="E40" s="106">
        <f t="shared" ref="E40:E46" si="2">B40+C40</f>
        <v>646</v>
      </c>
      <c r="F40" s="99">
        <v>0.70120000000000005</v>
      </c>
      <c r="H40" s="194"/>
      <c r="I40" s="170"/>
      <c r="J40" s="170"/>
      <c r="K40" s="171"/>
      <c r="L40" s="77"/>
      <c r="M40" s="194"/>
      <c r="N40" s="170"/>
      <c r="O40" s="171"/>
      <c r="Q40" s="95"/>
      <c r="R40" s="78"/>
      <c r="S40" s="96"/>
    </row>
    <row r="41" spans="1:19" ht="13.2">
      <c r="A41" s="104" t="s">
        <v>310</v>
      </c>
      <c r="B41" s="33">
        <f>540-370+100</f>
        <v>270</v>
      </c>
      <c r="C41" s="33">
        <v>360</v>
      </c>
      <c r="D41" s="33">
        <f>277+150</f>
        <v>427</v>
      </c>
      <c r="E41" s="106">
        <f t="shared" si="2"/>
        <v>630</v>
      </c>
      <c r="F41" s="99">
        <v>0.67779999999999996</v>
      </c>
      <c r="H41" s="194"/>
      <c r="I41" s="170"/>
      <c r="J41" s="170"/>
      <c r="K41" s="171"/>
      <c r="L41" s="77"/>
      <c r="M41" s="194"/>
      <c r="N41" s="170"/>
      <c r="O41" s="171"/>
      <c r="Q41" s="157" t="s">
        <v>304</v>
      </c>
      <c r="R41" s="199" t="s">
        <v>486</v>
      </c>
      <c r="S41" s="162"/>
    </row>
    <row r="42" spans="1:19" ht="13.2">
      <c r="A42" s="104" t="s">
        <v>311</v>
      </c>
      <c r="B42" s="33">
        <f>402-250+100</f>
        <v>252</v>
      </c>
      <c r="C42" s="33">
        <v>370</v>
      </c>
      <c r="D42" s="33">
        <f>262+150</f>
        <v>412</v>
      </c>
      <c r="E42" s="106">
        <f t="shared" si="2"/>
        <v>622</v>
      </c>
      <c r="F42" s="99">
        <v>0.66239999999999999</v>
      </c>
      <c r="H42" s="194"/>
      <c r="I42" s="170"/>
      <c r="J42" s="170"/>
      <c r="K42" s="171"/>
      <c r="L42" s="77"/>
      <c r="M42" s="194"/>
      <c r="N42" s="170"/>
      <c r="O42" s="171"/>
      <c r="Q42" s="196"/>
      <c r="R42" s="194"/>
      <c r="S42" s="171"/>
    </row>
    <row r="43" spans="1:19" ht="13.2">
      <c r="A43" s="104" t="s">
        <v>312</v>
      </c>
      <c r="B43" s="33">
        <f>310-200+100</f>
        <v>210</v>
      </c>
      <c r="C43" s="33">
        <v>380</v>
      </c>
      <c r="D43" s="33">
        <f>228+150</f>
        <v>378</v>
      </c>
      <c r="E43" s="106">
        <f t="shared" si="2"/>
        <v>590</v>
      </c>
      <c r="F43" s="99">
        <v>0.64070000000000005</v>
      </c>
      <c r="H43" s="194"/>
      <c r="I43" s="170"/>
      <c r="J43" s="170"/>
      <c r="K43" s="171"/>
      <c r="L43" s="77"/>
      <c r="M43" s="194"/>
      <c r="N43" s="170"/>
      <c r="O43" s="171"/>
      <c r="Q43" s="196"/>
      <c r="R43" s="194"/>
      <c r="S43" s="171"/>
    </row>
    <row r="44" spans="1:19" ht="13.2">
      <c r="A44" s="104" t="s">
        <v>313</v>
      </c>
      <c r="B44" s="33">
        <f>90+100</f>
        <v>190</v>
      </c>
      <c r="C44" s="33">
        <v>520</v>
      </c>
      <c r="D44" s="33">
        <f>209+150</f>
        <v>359</v>
      </c>
      <c r="E44" s="106">
        <f t="shared" si="2"/>
        <v>710</v>
      </c>
      <c r="F44" s="99">
        <v>0.50560000000000005</v>
      </c>
      <c r="H44" s="194"/>
      <c r="I44" s="170"/>
      <c r="J44" s="170"/>
      <c r="K44" s="171"/>
      <c r="L44" s="77"/>
      <c r="M44" s="194"/>
      <c r="N44" s="170"/>
      <c r="O44" s="171"/>
      <c r="P44" s="101"/>
      <c r="Q44" s="196"/>
      <c r="R44" s="194"/>
      <c r="S44" s="171"/>
    </row>
    <row r="45" spans="1:19" ht="13.2">
      <c r="A45" s="104" t="s">
        <v>314</v>
      </c>
      <c r="B45" s="33">
        <f>65+100</f>
        <v>165</v>
      </c>
      <c r="C45" s="33">
        <v>650</v>
      </c>
      <c r="D45" s="33">
        <f>156+150</f>
        <v>306</v>
      </c>
      <c r="E45" s="106">
        <f t="shared" si="2"/>
        <v>815</v>
      </c>
      <c r="F45" s="99">
        <v>0.3755</v>
      </c>
      <c r="H45" s="194"/>
      <c r="I45" s="170"/>
      <c r="J45" s="170"/>
      <c r="K45" s="171"/>
      <c r="L45" s="77"/>
      <c r="M45" s="194"/>
      <c r="N45" s="170"/>
      <c r="O45" s="171"/>
      <c r="P45" s="101"/>
      <c r="Q45" s="196"/>
      <c r="R45" s="194"/>
      <c r="S45" s="171"/>
    </row>
    <row r="46" spans="1:19" ht="13.2">
      <c r="A46" s="104" t="s">
        <v>315</v>
      </c>
      <c r="B46" s="33">
        <f>30+100</f>
        <v>130</v>
      </c>
      <c r="C46" s="33">
        <v>874</v>
      </c>
      <c r="D46" s="33">
        <f>137+150</f>
        <v>287</v>
      </c>
      <c r="E46" s="106">
        <f t="shared" si="2"/>
        <v>1004</v>
      </c>
      <c r="F46" s="99">
        <v>0.28589999999999999</v>
      </c>
      <c r="H46" s="163"/>
      <c r="I46" s="164"/>
      <c r="J46" s="164"/>
      <c r="K46" s="165"/>
      <c r="L46" s="77"/>
      <c r="M46" s="163"/>
      <c r="N46" s="164"/>
      <c r="O46" s="165"/>
      <c r="P46" s="101"/>
      <c r="Q46" s="197"/>
      <c r="R46" s="163"/>
      <c r="S46" s="165"/>
    </row>
    <row r="47" spans="1:19" ht="13.2">
      <c r="A47" s="110"/>
    </row>
    <row r="48" spans="1:19" ht="13.2">
      <c r="A48" s="110"/>
      <c r="R48" s="108" t="s">
        <v>319</v>
      </c>
      <c r="S48" s="108" t="s">
        <v>320</v>
      </c>
    </row>
    <row r="49" spans="1:19" ht="13.8">
      <c r="A49" s="110"/>
      <c r="B49" s="100"/>
      <c r="C49" s="100"/>
      <c r="D49" s="94"/>
      <c r="E49" s="112"/>
      <c r="F49" s="113"/>
      <c r="P49" s="157" t="s">
        <v>357</v>
      </c>
      <c r="Q49" s="162"/>
      <c r="R49" s="195" t="s">
        <v>358</v>
      </c>
      <c r="S49" s="195" t="s">
        <v>359</v>
      </c>
    </row>
    <row r="50" spans="1:19" ht="13.2">
      <c r="A50" s="110"/>
      <c r="B50" s="100"/>
      <c r="C50" s="100"/>
      <c r="D50" s="100"/>
      <c r="E50" s="112"/>
      <c r="F50" s="113"/>
      <c r="P50" s="194"/>
      <c r="Q50" s="171"/>
      <c r="R50" s="196"/>
      <c r="S50" s="196"/>
    </row>
    <row r="51" spans="1:19" ht="13.2">
      <c r="A51" s="110"/>
      <c r="B51" s="100"/>
      <c r="C51" s="100"/>
      <c r="D51" s="100"/>
      <c r="E51" s="112"/>
      <c r="F51" s="113"/>
      <c r="P51" s="194"/>
      <c r="Q51" s="171"/>
      <c r="R51" s="196"/>
      <c r="S51" s="196"/>
    </row>
    <row r="52" spans="1:19" ht="13.2">
      <c r="A52" s="110"/>
      <c r="B52" s="100"/>
      <c r="C52" s="100"/>
      <c r="D52" s="100"/>
      <c r="E52" s="112"/>
      <c r="F52" s="113"/>
      <c r="P52" s="194"/>
      <c r="Q52" s="171"/>
      <c r="R52" s="196"/>
      <c r="S52" s="196"/>
    </row>
    <row r="53" spans="1:19" ht="13.2">
      <c r="A53" s="110"/>
      <c r="B53" s="100"/>
      <c r="C53" s="100"/>
      <c r="D53" s="100"/>
      <c r="E53" s="112"/>
      <c r="F53" s="113"/>
      <c r="P53" s="194"/>
      <c r="Q53" s="171"/>
      <c r="R53" s="196"/>
      <c r="S53" s="196"/>
    </row>
    <row r="54" spans="1:19" ht="13.2">
      <c r="A54" s="110"/>
      <c r="B54" s="100"/>
      <c r="C54" s="100"/>
      <c r="D54" s="100"/>
      <c r="E54" s="112"/>
      <c r="F54" s="113"/>
      <c r="P54" s="163"/>
      <c r="Q54" s="165"/>
      <c r="R54" s="197"/>
      <c r="S54" s="197"/>
    </row>
    <row r="55" spans="1:19" ht="13.2">
      <c r="A55" s="110"/>
      <c r="B55" s="100"/>
      <c r="C55" s="100"/>
      <c r="D55" s="100"/>
      <c r="E55" s="112"/>
      <c r="F55" s="113"/>
      <c r="Q55" s="78"/>
      <c r="R55" s="78"/>
      <c r="S55" s="78"/>
    </row>
    <row r="56" spans="1:19" ht="13.2">
      <c r="A56" s="110"/>
      <c r="Q56" s="78"/>
      <c r="R56" s="78"/>
      <c r="S56" s="78"/>
    </row>
    <row r="57" spans="1:19" ht="13.2">
      <c r="A57" s="110"/>
      <c r="Q57" s="157" t="s">
        <v>360</v>
      </c>
      <c r="R57" s="199" t="s">
        <v>361</v>
      </c>
      <c r="S57" s="162"/>
    </row>
    <row r="58" spans="1:19" ht="13.2">
      <c r="A58" s="110"/>
      <c r="Q58" s="196"/>
      <c r="R58" s="194"/>
      <c r="S58" s="171"/>
    </row>
    <row r="59" spans="1:19" ht="13.2">
      <c r="A59" s="110"/>
      <c r="Q59" s="196"/>
      <c r="R59" s="194"/>
      <c r="S59" s="171"/>
    </row>
    <row r="60" spans="1:19" ht="13.2">
      <c r="A60" s="110"/>
      <c r="Q60" s="196"/>
      <c r="R60" s="194"/>
      <c r="S60" s="171"/>
    </row>
    <row r="61" spans="1:19" ht="13.2">
      <c r="A61" s="110"/>
      <c r="Q61" s="196"/>
      <c r="R61" s="194"/>
      <c r="S61" s="171"/>
    </row>
    <row r="62" spans="1:19" ht="13.2">
      <c r="A62" s="110"/>
      <c r="Q62" s="197"/>
      <c r="R62" s="163"/>
      <c r="S62" s="165"/>
    </row>
  </sheetData>
  <mergeCells count="43">
    <mergeCell ref="R57:S62"/>
    <mergeCell ref="A2:J2"/>
    <mergeCell ref="S37:S39"/>
    <mergeCell ref="B26:F26"/>
    <mergeCell ref="M25:O34"/>
    <mergeCell ref="S49:S54"/>
    <mergeCell ref="A24:F24"/>
    <mergeCell ref="A11:I11"/>
    <mergeCell ref="A36:F36"/>
    <mergeCell ref="R29:S34"/>
    <mergeCell ref="M13:O22"/>
    <mergeCell ref="Q17:Q22"/>
    <mergeCell ref="B38:F38"/>
    <mergeCell ref="A6:J6"/>
    <mergeCell ref="A13:F13"/>
    <mergeCell ref="H12:K22"/>
    <mergeCell ref="A1:S1"/>
    <mergeCell ref="A7:J7"/>
    <mergeCell ref="H24:K34"/>
    <mergeCell ref="A3:J3"/>
    <mergeCell ref="A4:J4"/>
    <mergeCell ref="A12:F12"/>
    <mergeCell ref="A10:J10"/>
    <mergeCell ref="R17:S22"/>
    <mergeCell ref="A9:J9"/>
    <mergeCell ref="B14:F14"/>
    <mergeCell ref="S13:S15"/>
    <mergeCell ref="Q57:Q62"/>
    <mergeCell ref="Q13:R15"/>
    <mergeCell ref="A5:J5"/>
    <mergeCell ref="A8:J8"/>
    <mergeCell ref="Q25:R27"/>
    <mergeCell ref="A37:F37"/>
    <mergeCell ref="M37:O46"/>
    <mergeCell ref="Q37:R39"/>
    <mergeCell ref="P49:Q54"/>
    <mergeCell ref="Q41:Q46"/>
    <mergeCell ref="H36:K46"/>
    <mergeCell ref="R41:S46"/>
    <mergeCell ref="S25:S27"/>
    <mergeCell ref="A25:F25"/>
    <mergeCell ref="Q29:Q34"/>
    <mergeCell ref="R49:R54"/>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19"/>
  <sheetViews>
    <sheetView topLeftCell="B17" workbookViewId="0">
      <selection activeCell="D19" sqref="D19"/>
    </sheetView>
  </sheetViews>
  <sheetFormatPr defaultColWidth="12.6640625" defaultRowHeight="15.75" customHeight="1"/>
  <cols>
    <col min="1" max="1" width="66.33203125" customWidth="1"/>
    <col min="2" max="3" width="49.6640625" customWidth="1"/>
    <col min="4" max="4" width="69.77734375" customWidth="1"/>
  </cols>
  <sheetData>
    <row r="1" spans="1:4" ht="37.799999999999997">
      <c r="A1" s="189" t="s">
        <v>20</v>
      </c>
      <c r="B1" s="159"/>
      <c r="C1" s="114"/>
      <c r="D1" s="115" t="s">
        <v>362</v>
      </c>
    </row>
    <row r="2" spans="1:4" ht="13.2">
      <c r="A2" s="185" t="s">
        <v>363</v>
      </c>
      <c r="B2" s="159"/>
      <c r="C2" s="76"/>
      <c r="D2" s="116" t="str">
        <f>'Tab 3 - Activation Hypothesis'!A17</f>
        <v>Moment that lead to Habit:</v>
      </c>
    </row>
    <row r="3" spans="1:4" ht="13.2">
      <c r="A3" s="190" t="s">
        <v>364</v>
      </c>
      <c r="B3" s="171"/>
      <c r="C3" s="71"/>
      <c r="D3" s="117" t="str">
        <f>CONCATENATE('Tab 3 - Activation Hypothesis'!A18," ",'Tab 3 - Activation Hypothesis'!B18)</f>
        <v>1 Only use Slack, not email, for internal messages</v>
      </c>
    </row>
    <row r="4" spans="1:4" ht="13.2">
      <c r="A4" s="76"/>
      <c r="B4" s="76"/>
      <c r="C4" s="76"/>
      <c r="D4" s="117" t="str">
        <f>CONCATENATE('Tab 3 - Activation Hypothesis'!A19," ",'Tab 3 - Activation Hypothesis'!B19)</f>
        <v>2 Sending or receiving 10+ messages across Slack channels in a single workday</v>
      </c>
    </row>
    <row r="5" spans="1:4" ht="13.2">
      <c r="A5" s="175" t="s">
        <v>365</v>
      </c>
      <c r="B5" s="165"/>
      <c r="C5" s="76"/>
      <c r="D5" s="117" t="str">
        <f>CONCATENATE('Tab 3 - Activation Hypothesis'!A20," ",'Tab 3 - Activation Hypothesis'!B20)</f>
        <v>3 Responding to an @mention notification within 30 minutes of receiving it</v>
      </c>
    </row>
    <row r="6" spans="1:4" ht="13.2">
      <c r="A6" s="187" t="s">
        <v>366</v>
      </c>
      <c r="B6" s="159"/>
      <c r="C6" s="118"/>
      <c r="D6" s="117" t="str">
        <f>CONCATENATE('Tab 3 - Activation Hypothesis'!A21," ",'Tab 3 - Activation Hypothesis'!B21)</f>
        <v>4 Creating or joining a new channel dedicated to a specific project or topic</v>
      </c>
    </row>
    <row r="7" spans="1:4" ht="13.2">
      <c r="A7" s="210" t="s">
        <v>367</v>
      </c>
      <c r="B7" s="159"/>
      <c r="C7" s="79"/>
      <c r="D7" s="117" t="str">
        <f>CONCATENATE('Tab 3 - Activation Hypothesis'!A22," ",'Tab 3 - Activation Hypothesis'!B22)</f>
        <v>5 Using Slack for at least 5 consecutive workdays instead of email for team conversations</v>
      </c>
    </row>
    <row r="8" spans="1:4" ht="13.2">
      <c r="A8" s="210" t="s">
        <v>368</v>
      </c>
      <c r="B8" s="159"/>
      <c r="C8" s="79"/>
      <c r="D8" s="116" t="str">
        <f>'Tab 3 - Activation Hypothesis'!A23</f>
        <v>Moment that lead to Aha:</v>
      </c>
    </row>
    <row r="9" spans="1:4" ht="13.2">
      <c r="A9" s="210" t="s">
        <v>369</v>
      </c>
      <c r="B9" s="159"/>
      <c r="C9" s="79"/>
      <c r="D9" s="117" t="str">
        <f>CONCATENATE('Tab 3 - Activation Hypothesis'!A24," ",'Tab 3 - Activation Hypothesis'!B24)</f>
        <v>1 Getting notifications from team on a group channel</v>
      </c>
    </row>
    <row r="10" spans="1:4" ht="13.2">
      <c r="A10" s="211" t="s">
        <v>370</v>
      </c>
      <c r="B10" s="170"/>
      <c r="C10" s="84"/>
      <c r="D10" s="117" t="str">
        <f>CONCATENATE('Tab 3 - Activation Hypothesis'!A25," ",'Tab 3 - Activation Hypothesis'!B25)</f>
        <v>2 Seeing a teammate reply in real-time in a shared channel within seconds of posting</v>
      </c>
    </row>
    <row r="11" spans="1:4" ht="26.4">
      <c r="A11" s="119" t="s">
        <v>265</v>
      </c>
      <c r="B11" s="119" t="s">
        <v>371</v>
      </c>
      <c r="C11" s="119" t="s">
        <v>372</v>
      </c>
      <c r="D11" s="117" t="str">
        <f>CONCATENATE('Tab 3 - Activation Hypothesis'!A26," ",'Tab 3 - Activation Hypothesis'!B26)</f>
        <v>3 Successfully sharing a file and receiving a comment or reaction from a colleague immediately</v>
      </c>
    </row>
    <row r="12" spans="1:4" ht="54.75" customHeight="1">
      <c r="A12" s="122" t="str">
        <f>'Tab 4 - Habit Moment and Metric'!R51</f>
        <v>Habit Moment 1: Looking for a communication tool outside of email to engage with team in Slack</v>
      </c>
      <c r="B12" s="122" t="str">
        <f>'Tab 4 - Habit Moment and Metric'!S51</f>
        <v>Habit Metric 1: # of Team Slack Messages Sent in 7-days; Target: 2,000+ messages in 7 days</v>
      </c>
      <c r="C12" s="120" t="s">
        <v>474</v>
      </c>
      <c r="D12" s="117" t="str">
        <f>CONCATENATE('Tab 3 - Activation Hypothesis'!A27," ",'Tab 3 - Activation Hypothesis'!B27)</f>
        <v>4 Discovering a channel with ongoing project discussions that resolves a question they had</v>
      </c>
    </row>
    <row r="13" spans="1:4" ht="26.4">
      <c r="A13" s="119" t="s">
        <v>271</v>
      </c>
      <c r="B13" s="119" t="s">
        <v>373</v>
      </c>
      <c r="C13" s="119"/>
      <c r="D13" s="117" t="str">
        <f>CONCATENATE('Tab 3 - Activation Hypothesis'!A28," ",'Tab 3 - Activation Hypothesis'!B28)</f>
        <v>5 Receiving a contextual @mention notification that helps them unblock a task without sending an email</v>
      </c>
    </row>
    <row r="14" spans="1:4" ht="72" customHeight="1">
      <c r="A14" s="122" t="str">
        <f>'Tab 5 - Aha Moment and Metric A'!R50</f>
        <v>Aha Moment 1: Engaging with a message in a group channel</v>
      </c>
      <c r="B14" s="122" t="str">
        <f>'Tab 5 - Aha Moment and Metric A'!S50</f>
        <v>Aha Metric 1: Sending 1st message in a group channel within 1 day of signup</v>
      </c>
      <c r="C14" s="120" t="s">
        <v>475</v>
      </c>
      <c r="D14" s="121" t="str">
        <f>'Tab 3 - Activation Hypothesis'!A29</f>
        <v>Moment that lead to Setup:</v>
      </c>
    </row>
    <row r="15" spans="1:4" ht="13.2">
      <c r="A15" s="119" t="s">
        <v>374</v>
      </c>
      <c r="B15" s="119" t="s">
        <v>375</v>
      </c>
      <c r="C15" s="119"/>
      <c r="D15" s="117" t="str">
        <f>CONCATENATE('Tab 3 - Activation Hypothesis'!A30," ",'Tab 3 - Activation Hypothesis'!B30)</f>
        <v>1 Engage in a frequency faster than email while being mobile</v>
      </c>
    </row>
    <row r="16" spans="1:4" ht="75" customHeight="1">
      <c r="A16" s="122" t="str">
        <f>'Tab 6 - Setup Moment and Metric'!R49</f>
        <v>Setup Moment 3: Invite a teammate and have a back-and-forth direct conversation</v>
      </c>
      <c r="B16" s="122" t="str">
        <f>'Tab 6 - Setup Moment and Metric'!S49</f>
        <v>Setup Metric 3: # of users invited within 7 days of signup; Target: 1+ user invited within 3 days</v>
      </c>
      <c r="C16" s="123" t="s">
        <v>476</v>
      </c>
      <c r="D16" s="117" t="str">
        <f>CONCATENATE('Tab 3 - Activation Hypothesis'!A31," ",'Tab 3 - Activation Hypothesis'!B31)</f>
        <v>2 Importing or finding contacts to see colleagues already on Slack suggested as connections</v>
      </c>
    </row>
    <row r="17" spans="1:4" ht="21.75" customHeight="1">
      <c r="A17" s="124"/>
      <c r="B17" s="124"/>
      <c r="C17" s="124"/>
      <c r="D17" s="117" t="str">
        <f>CONCATENATE('Tab 3 - Activation Hypothesis'!A32," ",'Tab 3 - Activation Hypothesis'!B32)</f>
        <v>3 Connecting a third-party app (e.g., Google Drive, GitHub, Jira) to a Slack channel</v>
      </c>
    </row>
    <row r="18" spans="1:4" ht="21.75" customHeight="1">
      <c r="A18" s="124"/>
      <c r="B18" s="124"/>
      <c r="C18" s="124"/>
      <c r="D18" s="117" t="str">
        <f>CONCATENATE('Tab 3 - Activation Hypothesis'!A33," ",'Tab 3 - Activation Hypothesis'!B33)</f>
        <v>4 Customizing notification preferences to receive alerts only for direct @mentions</v>
      </c>
    </row>
    <row r="19" spans="1:4" ht="21.75" customHeight="1">
      <c r="A19" s="124"/>
      <c r="B19" s="124"/>
      <c r="C19" s="124"/>
      <c r="D19" s="117" t="str">
        <f>CONCATENATE('Tab 3 - Activation Hypothesis'!A34," ",'Tab 3 - Activation Hypothesis'!B34)</f>
        <v>5 Setting up a dedicated project channel and inviting all relevant team members to it</v>
      </c>
    </row>
  </sheetData>
  <mergeCells count="9">
    <mergeCell ref="A2:B2"/>
    <mergeCell ref="A7:B7"/>
    <mergeCell ref="A10:B10"/>
    <mergeCell ref="A5:B5"/>
    <mergeCell ref="A1:B1"/>
    <mergeCell ref="A9:B9"/>
    <mergeCell ref="A8:B8"/>
    <mergeCell ref="A3:B3"/>
    <mergeCell ref="A6:B6"/>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98"/>
  <sheetViews>
    <sheetView showGridLines="0" tabSelected="1" topLeftCell="A57" workbookViewId="0">
      <selection activeCell="F49" sqref="F49"/>
    </sheetView>
  </sheetViews>
  <sheetFormatPr defaultColWidth="12.6640625" defaultRowHeight="15.75" customHeight="1"/>
  <cols>
    <col min="1" max="1" width="16.21875" customWidth="1"/>
    <col min="2" max="2" width="9.6640625" customWidth="1"/>
    <col min="3" max="3" width="13.109375" customWidth="1"/>
    <col min="4" max="4" width="17.21875" customWidth="1"/>
    <col min="5" max="5" width="11.44140625" customWidth="1"/>
    <col min="6" max="6" width="17" customWidth="1"/>
    <col min="7" max="7" width="12.77734375" customWidth="1"/>
  </cols>
  <sheetData>
    <row r="1" spans="1:14" ht="37.799999999999997">
      <c r="A1" s="189" t="s">
        <v>22</v>
      </c>
      <c r="B1" s="158"/>
      <c r="C1" s="158"/>
      <c r="D1" s="158"/>
      <c r="E1" s="158"/>
      <c r="F1" s="158"/>
      <c r="G1" s="158"/>
      <c r="H1" s="158"/>
      <c r="I1" s="158"/>
      <c r="J1" s="158"/>
      <c r="K1" s="158"/>
      <c r="L1" s="158"/>
      <c r="M1" s="158"/>
      <c r="N1" s="159"/>
    </row>
    <row r="2" spans="1:14" ht="13.2">
      <c r="A2" s="185" t="s">
        <v>376</v>
      </c>
      <c r="B2" s="158"/>
      <c r="C2" s="158"/>
      <c r="D2" s="158"/>
      <c r="E2" s="158"/>
      <c r="F2" s="158"/>
      <c r="G2" s="158"/>
      <c r="H2" s="158"/>
      <c r="I2" s="158"/>
      <c r="J2" s="159"/>
      <c r="M2" s="125"/>
      <c r="N2" s="125"/>
    </row>
    <row r="3" spans="1:14" ht="13.2">
      <c r="A3" s="167" t="s">
        <v>377</v>
      </c>
      <c r="B3" s="164"/>
      <c r="C3" s="164"/>
      <c r="D3" s="164"/>
      <c r="E3" s="164"/>
      <c r="F3" s="164"/>
      <c r="G3" s="164"/>
      <c r="H3" s="164"/>
      <c r="I3" s="164"/>
      <c r="J3" s="165"/>
      <c r="M3" s="125"/>
      <c r="N3" s="125"/>
    </row>
    <row r="4" spans="1:14" ht="13.2">
      <c r="A4" s="167" t="s">
        <v>378</v>
      </c>
      <c r="B4" s="164"/>
      <c r="C4" s="164"/>
      <c r="D4" s="164"/>
      <c r="E4" s="164"/>
      <c r="F4" s="164"/>
      <c r="G4" s="164"/>
      <c r="H4" s="164"/>
      <c r="I4" s="164"/>
      <c r="J4" s="165"/>
      <c r="M4" s="125"/>
      <c r="N4" s="125"/>
    </row>
    <row r="5" spans="1:14" ht="13.2">
      <c r="A5" s="167" t="s">
        <v>379</v>
      </c>
      <c r="B5" s="164"/>
      <c r="C5" s="164"/>
      <c r="D5" s="164"/>
      <c r="E5" s="164"/>
      <c r="F5" s="164"/>
      <c r="G5" s="164"/>
      <c r="H5" s="164"/>
      <c r="I5" s="164"/>
      <c r="J5" s="165"/>
      <c r="M5" s="125"/>
      <c r="N5" s="125"/>
    </row>
    <row r="6" spans="1:14" ht="13.2">
      <c r="A6" s="185" t="s">
        <v>380</v>
      </c>
      <c r="B6" s="158"/>
      <c r="C6" s="158"/>
      <c r="D6" s="158"/>
      <c r="E6" s="158"/>
      <c r="F6" s="158"/>
      <c r="G6" s="158"/>
      <c r="H6" s="158"/>
      <c r="I6" s="158"/>
      <c r="J6" s="159"/>
      <c r="M6" s="125"/>
      <c r="N6" s="125"/>
    </row>
    <row r="7" spans="1:14" ht="13.2">
      <c r="A7" s="187" t="s">
        <v>381</v>
      </c>
      <c r="B7" s="158"/>
      <c r="C7" s="158"/>
      <c r="D7" s="158"/>
      <c r="E7" s="158"/>
      <c r="F7" s="158"/>
      <c r="G7" s="158"/>
      <c r="H7" s="158"/>
      <c r="I7" s="158"/>
      <c r="J7" s="159"/>
      <c r="M7" s="125"/>
      <c r="N7" s="125"/>
    </row>
    <row r="8" spans="1:14" ht="13.2">
      <c r="A8" s="184" t="s">
        <v>382</v>
      </c>
      <c r="B8" s="158"/>
      <c r="C8" s="158"/>
      <c r="D8" s="158"/>
      <c r="E8" s="158"/>
      <c r="F8" s="158"/>
      <c r="G8" s="158"/>
      <c r="H8" s="158"/>
      <c r="I8" s="158"/>
      <c r="J8" s="159"/>
      <c r="M8" s="125"/>
      <c r="N8" s="125"/>
    </row>
    <row r="9" spans="1:14" ht="13.2">
      <c r="A9" s="184" t="s">
        <v>383</v>
      </c>
      <c r="B9" s="158"/>
      <c r="C9" s="158"/>
      <c r="D9" s="158"/>
      <c r="E9" s="158"/>
      <c r="F9" s="158"/>
      <c r="G9" s="158"/>
      <c r="H9" s="158"/>
      <c r="I9" s="158"/>
      <c r="J9" s="159"/>
      <c r="M9" s="125"/>
      <c r="N9" s="125"/>
    </row>
    <row r="10" spans="1:14" ht="13.2">
      <c r="A10" s="207" t="s">
        <v>384</v>
      </c>
      <c r="B10" s="158"/>
      <c r="C10" s="158"/>
      <c r="D10" s="158"/>
      <c r="E10" s="158"/>
      <c r="F10" s="158"/>
      <c r="G10" s="158"/>
      <c r="H10" s="158"/>
      <c r="I10" s="158"/>
      <c r="J10" s="159"/>
      <c r="M10" s="125"/>
      <c r="N10" s="125"/>
    </row>
    <row r="11" spans="1:14" ht="13.2">
      <c r="A11" s="207" t="s">
        <v>385</v>
      </c>
      <c r="B11" s="158"/>
      <c r="C11" s="158"/>
      <c r="D11" s="158"/>
      <c r="E11" s="158"/>
      <c r="F11" s="158"/>
      <c r="G11" s="158"/>
      <c r="H11" s="158"/>
      <c r="I11" s="158"/>
      <c r="J11" s="159"/>
      <c r="M11" s="125"/>
      <c r="N11" s="125"/>
    </row>
    <row r="12" spans="1:14" ht="13.2">
      <c r="A12" s="207" t="s">
        <v>386</v>
      </c>
      <c r="B12" s="158"/>
      <c r="C12" s="158"/>
      <c r="D12" s="158"/>
      <c r="E12" s="158"/>
      <c r="F12" s="158"/>
      <c r="G12" s="158"/>
      <c r="H12" s="158"/>
      <c r="I12" s="158"/>
      <c r="J12" s="159"/>
      <c r="M12" s="125"/>
      <c r="N12" s="125"/>
    </row>
    <row r="13" spans="1:14" ht="13.2">
      <c r="A13" s="207" t="s">
        <v>387</v>
      </c>
      <c r="B13" s="158"/>
      <c r="C13" s="158"/>
      <c r="D13" s="158"/>
      <c r="E13" s="158"/>
      <c r="F13" s="158"/>
      <c r="G13" s="158"/>
      <c r="H13" s="158"/>
      <c r="I13" s="158"/>
      <c r="J13" s="159"/>
      <c r="M13" s="125"/>
      <c r="N13" s="125"/>
    </row>
    <row r="14" spans="1:14" ht="13.2">
      <c r="A14" s="207" t="s">
        <v>388</v>
      </c>
      <c r="B14" s="158"/>
      <c r="C14" s="158"/>
      <c r="D14" s="158"/>
      <c r="E14" s="158"/>
      <c r="F14" s="158"/>
      <c r="G14" s="158"/>
      <c r="H14" s="158"/>
      <c r="I14" s="158"/>
      <c r="J14" s="159"/>
      <c r="M14" s="125"/>
      <c r="N14" s="125"/>
    </row>
    <row r="15" spans="1:14" ht="13.2">
      <c r="A15" s="217" t="s">
        <v>389</v>
      </c>
      <c r="B15" s="170"/>
      <c r="C15" s="170"/>
      <c r="D15" s="170"/>
      <c r="E15" s="170"/>
      <c r="F15" s="170"/>
      <c r="G15" s="170"/>
      <c r="H15" s="170"/>
      <c r="I15" s="170"/>
      <c r="J15" s="170"/>
      <c r="K15" s="84"/>
      <c r="L15" s="125"/>
      <c r="M15" s="125"/>
      <c r="N15" s="125"/>
    </row>
    <row r="16" spans="1:14" ht="15">
      <c r="A16" s="218" t="s">
        <v>390</v>
      </c>
      <c r="B16" s="158"/>
      <c r="C16" s="158"/>
      <c r="D16" s="158"/>
      <c r="E16" s="158"/>
      <c r="F16" s="158"/>
      <c r="G16" s="158"/>
      <c r="H16" s="158"/>
      <c r="I16" s="159"/>
      <c r="J16" s="126"/>
      <c r="K16" s="216" t="s">
        <v>69</v>
      </c>
      <c r="L16" s="170"/>
      <c r="M16" s="170"/>
      <c r="N16" s="170"/>
    </row>
    <row r="17" spans="1:14" ht="45">
      <c r="A17" s="127" t="s">
        <v>391</v>
      </c>
      <c r="B17" s="127" t="s">
        <v>392</v>
      </c>
      <c r="C17" s="218" t="s">
        <v>20</v>
      </c>
      <c r="D17" s="158"/>
      <c r="E17" s="158"/>
      <c r="F17" s="158"/>
      <c r="G17" s="159"/>
      <c r="H17" s="212" t="s">
        <v>393</v>
      </c>
      <c r="I17" s="213" t="s">
        <v>394</v>
      </c>
      <c r="J17" s="126"/>
      <c r="K17" s="170"/>
      <c r="L17" s="170"/>
      <c r="M17" s="170"/>
      <c r="N17" s="170"/>
    </row>
    <row r="18" spans="1:14" ht="15">
      <c r="A18" s="128" t="s">
        <v>395</v>
      </c>
      <c r="B18" s="129">
        <f>SUM(B19:B26)</f>
        <v>920.6</v>
      </c>
      <c r="C18" s="130" t="s">
        <v>396</v>
      </c>
      <c r="D18" s="130" t="s">
        <v>397</v>
      </c>
      <c r="E18" s="130" t="s">
        <v>398</v>
      </c>
      <c r="F18" s="130" t="s">
        <v>399</v>
      </c>
      <c r="G18" s="130" t="s">
        <v>400</v>
      </c>
      <c r="H18" s="197"/>
      <c r="I18" s="197"/>
      <c r="J18" s="126"/>
      <c r="K18" s="221" t="s">
        <v>483</v>
      </c>
      <c r="L18" s="161"/>
      <c r="M18" s="161"/>
      <c r="N18" s="162"/>
    </row>
    <row r="19" spans="1:14" ht="15">
      <c r="A19" s="131" t="s">
        <v>401</v>
      </c>
      <c r="B19" s="132">
        <f>310*0.9</f>
        <v>279</v>
      </c>
      <c r="C19" s="133">
        <v>0.85</v>
      </c>
      <c r="D19" s="222">
        <v>0.92</v>
      </c>
      <c r="E19" s="135">
        <v>0.78</v>
      </c>
      <c r="F19" s="134">
        <v>0.87</v>
      </c>
      <c r="G19" s="136">
        <v>0.68</v>
      </c>
      <c r="H19" s="137">
        <v>126</v>
      </c>
      <c r="I19" s="138">
        <v>0.45</v>
      </c>
      <c r="J19" s="126"/>
      <c r="K19" s="194"/>
      <c r="L19" s="170"/>
      <c r="M19" s="170"/>
      <c r="N19" s="171"/>
    </row>
    <row r="20" spans="1:14" ht="15">
      <c r="A20" s="131" t="s">
        <v>402</v>
      </c>
      <c r="B20" s="132">
        <f>206*0.8</f>
        <v>164.8</v>
      </c>
      <c r="C20" s="139">
        <v>0.76</v>
      </c>
      <c r="D20" s="219">
        <v>0.90790000000000004</v>
      </c>
      <c r="E20" s="141">
        <v>0.69</v>
      </c>
      <c r="F20" s="219">
        <v>0.91300000000000003</v>
      </c>
      <c r="G20" s="142">
        <v>0.63</v>
      </c>
      <c r="H20" s="140">
        <v>54</v>
      </c>
      <c r="I20" s="143">
        <v>0.33040000000000003</v>
      </c>
      <c r="J20" s="126"/>
      <c r="K20" s="194"/>
      <c r="L20" s="170"/>
      <c r="M20" s="170"/>
      <c r="N20" s="171"/>
    </row>
    <row r="21" spans="1:14" ht="15">
      <c r="A21" s="131" t="s">
        <v>403</v>
      </c>
      <c r="B21" s="132">
        <f>172*0.8</f>
        <v>137.6</v>
      </c>
      <c r="C21" s="144">
        <v>0.8</v>
      </c>
      <c r="D21" s="219">
        <v>0.95</v>
      </c>
      <c r="E21" s="139">
        <v>0.76</v>
      </c>
      <c r="F21" s="219">
        <v>0.92110000000000003</v>
      </c>
      <c r="G21" s="145">
        <v>0.7</v>
      </c>
      <c r="H21" s="140">
        <v>59</v>
      </c>
      <c r="I21" s="143">
        <v>0.42559999999999998</v>
      </c>
      <c r="J21" s="126"/>
      <c r="K21" s="194"/>
      <c r="L21" s="170"/>
      <c r="M21" s="170"/>
      <c r="N21" s="171"/>
    </row>
    <row r="22" spans="1:14" ht="15">
      <c r="A22" s="131" t="s">
        <v>404</v>
      </c>
      <c r="B22" s="132">
        <f>138*0.8</f>
        <v>110.4</v>
      </c>
      <c r="C22" s="139">
        <v>0.76</v>
      </c>
      <c r="D22" s="219">
        <v>0.90790000000000004</v>
      </c>
      <c r="E22" s="141">
        <v>0.69</v>
      </c>
      <c r="F22" s="219">
        <v>0.86960000000000004</v>
      </c>
      <c r="G22" s="146">
        <v>0.6</v>
      </c>
      <c r="H22" s="140">
        <v>35</v>
      </c>
      <c r="I22" s="143">
        <v>0.31459999999999999</v>
      </c>
      <c r="J22" s="126"/>
      <c r="K22" s="194"/>
      <c r="L22" s="170"/>
      <c r="M22" s="170"/>
      <c r="N22" s="171"/>
    </row>
    <row r="23" spans="1:14" ht="15">
      <c r="A23" s="131" t="s">
        <v>405</v>
      </c>
      <c r="B23" s="132">
        <f>112*0.8</f>
        <v>89.600000000000009</v>
      </c>
      <c r="C23" s="144">
        <v>0.8</v>
      </c>
      <c r="D23" s="219">
        <v>0.9375</v>
      </c>
      <c r="E23" s="147">
        <v>0.75</v>
      </c>
      <c r="F23" s="219">
        <v>0.88</v>
      </c>
      <c r="G23" s="148">
        <v>0.66</v>
      </c>
      <c r="H23" s="140">
        <v>35</v>
      </c>
      <c r="I23" s="143">
        <v>0.39600000000000002</v>
      </c>
      <c r="J23" s="126"/>
      <c r="K23" s="194"/>
      <c r="L23" s="170"/>
      <c r="M23" s="170"/>
      <c r="N23" s="171"/>
    </row>
    <row r="24" spans="1:14" ht="15">
      <c r="A24" s="131" t="s">
        <v>406</v>
      </c>
      <c r="B24" s="132">
        <f>92*0.8</f>
        <v>73.600000000000009</v>
      </c>
      <c r="C24" s="145">
        <v>0.7</v>
      </c>
      <c r="D24" s="219">
        <v>0.93220000000000003</v>
      </c>
      <c r="E24" s="149">
        <v>0.65257352941176472</v>
      </c>
      <c r="F24" s="219">
        <v>0.87890000000000001</v>
      </c>
      <c r="G24" s="150">
        <v>0.57352941176470584</v>
      </c>
      <c r="H24" s="140">
        <v>19</v>
      </c>
      <c r="I24" s="143">
        <v>0.26200000000000001</v>
      </c>
      <c r="J24" s="126"/>
      <c r="K24" s="194"/>
      <c r="L24" s="170"/>
      <c r="M24" s="170"/>
      <c r="N24" s="171"/>
    </row>
    <row r="25" spans="1:14" ht="15">
      <c r="A25" s="131" t="s">
        <v>407</v>
      </c>
      <c r="B25" s="132">
        <f>58*0.8</f>
        <v>46.400000000000006</v>
      </c>
      <c r="C25" s="136">
        <v>0.68</v>
      </c>
      <c r="D25" s="219">
        <v>0.88239999999999996</v>
      </c>
      <c r="E25" s="146">
        <v>0.6</v>
      </c>
      <c r="F25" s="219">
        <v>0.91669999999999996</v>
      </c>
      <c r="G25" s="151">
        <v>0.55000000000000004</v>
      </c>
      <c r="H25" s="140">
        <v>10</v>
      </c>
      <c r="I25" s="143">
        <v>0.22439999999999999</v>
      </c>
      <c r="J25" s="126"/>
      <c r="K25" s="194"/>
      <c r="L25" s="170"/>
      <c r="M25" s="170"/>
      <c r="N25" s="171"/>
    </row>
    <row r="26" spans="1:14" ht="15">
      <c r="A26" s="131" t="s">
        <v>408</v>
      </c>
      <c r="B26" s="132">
        <f>24*0.8</f>
        <v>19.200000000000003</v>
      </c>
      <c r="C26" s="141">
        <v>0.69</v>
      </c>
      <c r="D26" s="219">
        <v>0.92749999999999999</v>
      </c>
      <c r="E26" s="152">
        <v>0.64</v>
      </c>
      <c r="F26" s="219">
        <v>0.9375</v>
      </c>
      <c r="G26" s="146">
        <v>0.6</v>
      </c>
      <c r="H26" s="140">
        <v>5</v>
      </c>
      <c r="I26" s="143">
        <v>0.26500000000000001</v>
      </c>
      <c r="J26" s="126"/>
      <c r="K26" s="194"/>
      <c r="L26" s="170"/>
      <c r="M26" s="170"/>
      <c r="N26" s="171"/>
    </row>
    <row r="27" spans="1:14" ht="15">
      <c r="A27" s="153" t="s">
        <v>172</v>
      </c>
      <c r="B27" s="154">
        <f>AVERAGE(B19:B26)</f>
        <v>115.075</v>
      </c>
      <c r="C27" s="155">
        <f>AVERAGE(C19:C26)</f>
        <v>0.75499999999999989</v>
      </c>
      <c r="D27" s="220">
        <v>0.92069999999999996</v>
      </c>
      <c r="E27" s="155">
        <f>AVERAGE(E19:E26)</f>
        <v>0.69532169117647047</v>
      </c>
      <c r="F27" s="220">
        <v>0.89829999999999999</v>
      </c>
      <c r="G27" s="155">
        <f>AVERAGE(G19:G26)</f>
        <v>0.62419117647058819</v>
      </c>
      <c r="H27" s="156">
        <v>42.9</v>
      </c>
      <c r="I27" s="143">
        <v>0.33350000000000002</v>
      </c>
      <c r="J27" s="126"/>
      <c r="K27" s="163"/>
      <c r="L27" s="164"/>
      <c r="M27" s="164"/>
      <c r="N27" s="165"/>
    </row>
    <row r="28" spans="1:14" ht="13.2">
      <c r="A28" s="125"/>
      <c r="B28" s="125"/>
      <c r="C28" s="125"/>
      <c r="D28" s="125"/>
      <c r="E28" s="125"/>
      <c r="F28" s="125"/>
      <c r="G28" s="125"/>
      <c r="H28" s="125"/>
      <c r="I28" s="125"/>
      <c r="J28" s="126"/>
      <c r="K28" s="125"/>
      <c r="L28" s="125"/>
      <c r="M28" s="125"/>
      <c r="N28" s="125"/>
    </row>
    <row r="29" spans="1:14" ht="13.2">
      <c r="A29" s="214" t="s">
        <v>409</v>
      </c>
      <c r="B29" s="162"/>
      <c r="C29" s="214" t="s">
        <v>410</v>
      </c>
      <c r="D29" s="162"/>
      <c r="E29" s="214" t="s">
        <v>411</v>
      </c>
      <c r="F29" s="162"/>
      <c r="G29" s="214" t="s">
        <v>412</v>
      </c>
      <c r="H29" s="161"/>
      <c r="I29" s="161"/>
      <c r="J29" s="161"/>
      <c r="K29" s="161"/>
      <c r="L29" s="161"/>
      <c r="M29" s="161"/>
      <c r="N29" s="162"/>
    </row>
    <row r="30" spans="1:14" ht="13.2">
      <c r="A30" s="163"/>
      <c r="B30" s="165"/>
      <c r="C30" s="163"/>
      <c r="D30" s="165"/>
      <c r="E30" s="163"/>
      <c r="F30" s="165"/>
      <c r="G30" s="163"/>
      <c r="H30" s="164"/>
      <c r="I30" s="164"/>
      <c r="J30" s="164"/>
      <c r="K30" s="164"/>
      <c r="L30" s="164"/>
      <c r="M30" s="164"/>
      <c r="N30" s="165"/>
    </row>
    <row r="31" spans="1:14" ht="13.2">
      <c r="A31" s="215" t="s">
        <v>413</v>
      </c>
      <c r="B31" s="162"/>
      <c r="C31" s="215" t="s">
        <v>414</v>
      </c>
      <c r="D31" s="162"/>
      <c r="E31" s="215" t="s">
        <v>415</v>
      </c>
      <c r="F31" s="162"/>
      <c r="G31" s="215" t="s">
        <v>416</v>
      </c>
      <c r="H31" s="161"/>
      <c r="I31" s="161"/>
      <c r="J31" s="161"/>
      <c r="K31" s="161"/>
      <c r="L31" s="161"/>
      <c r="M31" s="161"/>
      <c r="N31" s="162"/>
    </row>
    <row r="32" spans="1:14" ht="13.2">
      <c r="A32" s="194"/>
      <c r="B32" s="171"/>
      <c r="C32" s="194"/>
      <c r="D32" s="171"/>
      <c r="E32" s="194"/>
      <c r="F32" s="171"/>
      <c r="G32" s="194"/>
      <c r="H32" s="170"/>
      <c r="I32" s="170"/>
      <c r="J32" s="170"/>
      <c r="K32" s="170"/>
      <c r="L32" s="170"/>
      <c r="M32" s="170"/>
      <c r="N32" s="171"/>
    </row>
    <row r="33" spans="1:14" ht="13.2">
      <c r="A33" s="194"/>
      <c r="B33" s="171"/>
      <c r="C33" s="194"/>
      <c r="D33" s="171"/>
      <c r="E33" s="194"/>
      <c r="F33" s="171"/>
      <c r="G33" s="194"/>
      <c r="H33" s="170"/>
      <c r="I33" s="170"/>
      <c r="J33" s="170"/>
      <c r="K33" s="170"/>
      <c r="L33" s="170"/>
      <c r="M33" s="170"/>
      <c r="N33" s="171"/>
    </row>
    <row r="34" spans="1:14" ht="13.2">
      <c r="A34" s="194"/>
      <c r="B34" s="171"/>
      <c r="C34" s="194"/>
      <c r="D34" s="171"/>
      <c r="E34" s="194"/>
      <c r="F34" s="171"/>
      <c r="G34" s="194"/>
      <c r="H34" s="170"/>
      <c r="I34" s="170"/>
      <c r="J34" s="170"/>
      <c r="K34" s="170"/>
      <c r="L34" s="170"/>
      <c r="M34" s="170"/>
      <c r="N34" s="171"/>
    </row>
    <row r="35" spans="1:14" ht="13.2">
      <c r="A35" s="194"/>
      <c r="B35" s="171"/>
      <c r="C35" s="194"/>
      <c r="D35" s="171"/>
      <c r="E35" s="194"/>
      <c r="F35" s="171"/>
      <c r="G35" s="194"/>
      <c r="H35" s="170"/>
      <c r="I35" s="170"/>
      <c r="J35" s="170"/>
      <c r="K35" s="170"/>
      <c r="L35" s="170"/>
      <c r="M35" s="170"/>
      <c r="N35" s="171"/>
    </row>
    <row r="36" spans="1:14" ht="15" customHeight="1">
      <c r="A36" s="163"/>
      <c r="B36" s="165"/>
      <c r="C36" s="163"/>
      <c r="D36" s="165"/>
      <c r="E36" s="163"/>
      <c r="F36" s="165"/>
      <c r="G36" s="163"/>
      <c r="H36" s="164"/>
      <c r="I36" s="164"/>
      <c r="J36" s="164"/>
      <c r="K36" s="164"/>
      <c r="L36" s="164"/>
      <c r="M36" s="164"/>
      <c r="N36" s="165"/>
    </row>
    <row r="37" spans="1:14" ht="13.2">
      <c r="A37" s="125"/>
      <c r="B37" s="125"/>
      <c r="C37" s="125"/>
      <c r="D37" s="125"/>
      <c r="E37" s="125"/>
      <c r="F37" s="125"/>
      <c r="G37" s="125"/>
      <c r="H37" s="125"/>
      <c r="I37" s="125"/>
      <c r="J37" s="125"/>
      <c r="K37" s="125"/>
      <c r="L37" s="125"/>
      <c r="M37" s="125"/>
      <c r="N37" s="125"/>
    </row>
    <row r="38" spans="1:14" ht="15">
      <c r="A38" s="218" t="s">
        <v>417</v>
      </c>
      <c r="B38" s="158"/>
      <c r="C38" s="158"/>
      <c r="D38" s="158"/>
      <c r="E38" s="158"/>
      <c r="F38" s="158"/>
      <c r="G38" s="158"/>
      <c r="H38" s="158"/>
      <c r="I38" s="159"/>
      <c r="J38" s="126"/>
      <c r="K38" s="216" t="s">
        <v>69</v>
      </c>
      <c r="L38" s="170"/>
      <c r="M38" s="170"/>
      <c r="N38" s="170"/>
    </row>
    <row r="39" spans="1:14" ht="30">
      <c r="A39" s="127" t="s">
        <v>418</v>
      </c>
      <c r="B39" s="127" t="s">
        <v>419</v>
      </c>
      <c r="C39" s="218"/>
      <c r="D39" s="158"/>
      <c r="E39" s="158"/>
      <c r="F39" s="158"/>
      <c r="G39" s="159"/>
      <c r="H39" s="212" t="s">
        <v>393</v>
      </c>
      <c r="I39" s="213" t="s">
        <v>394</v>
      </c>
      <c r="J39" s="126"/>
      <c r="K39" s="170"/>
      <c r="L39" s="170"/>
      <c r="M39" s="170"/>
      <c r="N39" s="170"/>
    </row>
    <row r="40" spans="1:14" ht="15">
      <c r="A40" s="128" t="s">
        <v>395</v>
      </c>
      <c r="B40" s="129">
        <f>SUM(B41:B48)</f>
        <v>1450</v>
      </c>
      <c r="C40" s="130" t="s">
        <v>396</v>
      </c>
      <c r="D40" s="130" t="s">
        <v>397</v>
      </c>
      <c r="E40" s="130" t="s">
        <v>398</v>
      </c>
      <c r="F40" s="130" t="s">
        <v>399</v>
      </c>
      <c r="G40" s="130" t="s">
        <v>400</v>
      </c>
      <c r="H40" s="197"/>
      <c r="I40" s="197"/>
      <c r="J40" s="125"/>
      <c r="K40" s="221" t="s">
        <v>482</v>
      </c>
      <c r="L40" s="161"/>
      <c r="M40" s="161"/>
      <c r="N40" s="162"/>
    </row>
    <row r="41" spans="1:14" ht="15">
      <c r="A41" s="131" t="s">
        <v>420</v>
      </c>
      <c r="B41" s="132">
        <v>280</v>
      </c>
      <c r="C41" s="133">
        <v>0.64</v>
      </c>
      <c r="D41" s="219">
        <v>0.92190000000000005</v>
      </c>
      <c r="E41" s="135">
        <v>0.59</v>
      </c>
      <c r="F41" s="219">
        <v>0.86439999999999995</v>
      </c>
      <c r="G41" s="136">
        <v>0.51</v>
      </c>
      <c r="H41" s="140">
        <v>54</v>
      </c>
      <c r="I41" s="219">
        <v>0.19259999999999999</v>
      </c>
      <c r="J41" s="125"/>
      <c r="K41" s="194"/>
      <c r="L41" s="170"/>
      <c r="M41" s="170"/>
      <c r="N41" s="171"/>
    </row>
    <row r="42" spans="1:14" ht="15">
      <c r="A42" s="131" t="s">
        <v>421</v>
      </c>
      <c r="B42" s="132">
        <v>370</v>
      </c>
      <c r="C42" s="139">
        <v>0.74</v>
      </c>
      <c r="D42" s="219">
        <v>0.93240000000000001</v>
      </c>
      <c r="E42" s="141">
        <v>0.69</v>
      </c>
      <c r="F42" s="219">
        <v>0.89859999999999995</v>
      </c>
      <c r="G42" s="142">
        <v>0.62</v>
      </c>
      <c r="H42" s="140">
        <v>117</v>
      </c>
      <c r="I42" s="219">
        <v>0.31659999999999999</v>
      </c>
      <c r="J42" s="125"/>
      <c r="K42" s="194"/>
      <c r="L42" s="170"/>
      <c r="M42" s="170"/>
      <c r="N42" s="171"/>
    </row>
    <row r="43" spans="1:14" ht="15">
      <c r="A43" s="131" t="s">
        <v>422</v>
      </c>
      <c r="B43" s="132">
        <v>200</v>
      </c>
      <c r="C43" s="144">
        <v>0.78</v>
      </c>
      <c r="D43" s="219">
        <v>0.9103</v>
      </c>
      <c r="E43" s="139">
        <v>0.71</v>
      </c>
      <c r="F43" s="219">
        <v>0.92959999999999998</v>
      </c>
      <c r="G43" s="145">
        <v>0.66</v>
      </c>
      <c r="H43" s="140">
        <v>73</v>
      </c>
      <c r="I43" s="219">
        <v>0.36549999999999999</v>
      </c>
      <c r="J43" s="125"/>
      <c r="K43" s="194"/>
      <c r="L43" s="170"/>
      <c r="M43" s="170"/>
      <c r="N43" s="171"/>
    </row>
    <row r="44" spans="1:14" ht="15">
      <c r="A44" s="131" t="s">
        <v>423</v>
      </c>
      <c r="B44" s="132">
        <v>175</v>
      </c>
      <c r="C44" s="139">
        <v>0.81</v>
      </c>
      <c r="D44" s="219">
        <v>0.92589999999999995</v>
      </c>
      <c r="E44" s="141">
        <v>0.75</v>
      </c>
      <c r="F44" s="219">
        <v>0.94669999999999999</v>
      </c>
      <c r="G44" s="146">
        <v>0.71</v>
      </c>
      <c r="H44" s="140">
        <v>75</v>
      </c>
      <c r="I44" s="219">
        <v>0.43130000000000002</v>
      </c>
      <c r="J44" s="125"/>
      <c r="K44" s="194"/>
      <c r="L44" s="170"/>
      <c r="M44" s="170"/>
      <c r="N44" s="171"/>
    </row>
    <row r="45" spans="1:14" ht="15">
      <c r="A45" s="131" t="s">
        <v>424</v>
      </c>
      <c r="B45" s="132">
        <v>120</v>
      </c>
      <c r="C45" s="144">
        <v>0.75</v>
      </c>
      <c r="D45" s="219">
        <v>0.93330000000000002</v>
      </c>
      <c r="E45" s="147">
        <v>0.7</v>
      </c>
      <c r="F45" s="219">
        <v>0.88570000000000004</v>
      </c>
      <c r="G45" s="148">
        <v>0.62</v>
      </c>
      <c r="H45" s="140">
        <v>39</v>
      </c>
      <c r="I45" s="219">
        <v>0.32550000000000001</v>
      </c>
      <c r="J45" s="125"/>
      <c r="K45" s="194"/>
      <c r="L45" s="170"/>
      <c r="M45" s="170"/>
      <c r="N45" s="171"/>
    </row>
    <row r="46" spans="1:14" ht="15">
      <c r="A46" s="131" t="s">
        <v>425</v>
      </c>
      <c r="B46" s="132">
        <v>75</v>
      </c>
      <c r="C46" s="145">
        <v>0.68</v>
      </c>
      <c r="D46" s="219">
        <v>0.97060000000000002</v>
      </c>
      <c r="E46" s="149">
        <v>0.66</v>
      </c>
      <c r="F46" s="219">
        <v>0.83330000000000004</v>
      </c>
      <c r="G46" s="150">
        <v>0.55000000000000004</v>
      </c>
      <c r="H46" s="140">
        <v>19</v>
      </c>
      <c r="I46" s="219">
        <v>0.24679999999999999</v>
      </c>
      <c r="J46" s="125"/>
      <c r="K46" s="194"/>
      <c r="L46" s="170"/>
      <c r="M46" s="170"/>
      <c r="N46" s="171"/>
    </row>
    <row r="47" spans="1:14" ht="15">
      <c r="A47" s="131" t="s">
        <v>426</v>
      </c>
      <c r="B47" s="132">
        <v>130</v>
      </c>
      <c r="C47" s="136">
        <v>0.72</v>
      </c>
      <c r="D47" s="219">
        <v>0.93059999999999998</v>
      </c>
      <c r="E47" s="146">
        <v>0.67</v>
      </c>
      <c r="F47" s="219">
        <v>0.98509999999999998</v>
      </c>
      <c r="G47" s="151">
        <v>0.66</v>
      </c>
      <c r="H47" s="140">
        <v>41</v>
      </c>
      <c r="I47" s="219">
        <v>0.31840000000000002</v>
      </c>
      <c r="J47" s="125"/>
      <c r="K47" s="194"/>
      <c r="L47" s="170"/>
      <c r="M47" s="170"/>
      <c r="N47" s="171"/>
    </row>
    <row r="48" spans="1:14" ht="15">
      <c r="A48" s="131" t="s">
        <v>427</v>
      </c>
      <c r="B48" s="132">
        <v>100</v>
      </c>
      <c r="C48" s="141">
        <v>0.7</v>
      </c>
      <c r="D48" s="220">
        <v>0.9</v>
      </c>
      <c r="E48" s="152">
        <v>0.63</v>
      </c>
      <c r="F48" s="220">
        <v>0.90480000000000005</v>
      </c>
      <c r="G48" s="146">
        <v>0.56999999999999995</v>
      </c>
      <c r="H48" s="156">
        <v>25</v>
      </c>
      <c r="I48" s="220">
        <v>0.25140000000000001</v>
      </c>
      <c r="J48" s="125"/>
      <c r="K48" s="194"/>
      <c r="L48" s="170"/>
      <c r="M48" s="170"/>
      <c r="N48" s="171"/>
    </row>
    <row r="49" spans="1:14" ht="15">
      <c r="A49" s="153" t="s">
        <v>172</v>
      </c>
      <c r="B49" s="154">
        <f>AVERAGE(B41:B48)</f>
        <v>181.25</v>
      </c>
      <c r="C49" s="155">
        <f>AVERAGE(C41:C48)</f>
        <v>0.72750000000000004</v>
      </c>
      <c r="D49" s="220">
        <v>0.92810000000000004</v>
      </c>
      <c r="E49" s="155">
        <f>AVERAGE(E41:E48)</f>
        <v>0.67499999999999993</v>
      </c>
      <c r="F49" s="220">
        <v>0.90600000000000003</v>
      </c>
      <c r="G49" s="155">
        <f>AVERAGE(G41:G48)</f>
        <v>0.61250000000000004</v>
      </c>
      <c r="H49" s="156">
        <v>55.4</v>
      </c>
      <c r="I49" s="220">
        <v>0.30599999999999999</v>
      </c>
      <c r="J49" s="125"/>
      <c r="K49" s="163"/>
      <c r="L49" s="164"/>
      <c r="M49" s="164"/>
      <c r="N49" s="165"/>
    </row>
    <row r="50" spans="1:14" ht="13.2">
      <c r="A50" s="125"/>
      <c r="B50" s="125"/>
      <c r="C50" s="125"/>
      <c r="D50" s="125"/>
      <c r="E50" s="125"/>
      <c r="F50" s="125"/>
      <c r="G50" s="125"/>
      <c r="H50" s="125"/>
      <c r="I50" s="125"/>
      <c r="J50" s="125"/>
      <c r="K50" s="125"/>
      <c r="L50" s="125"/>
      <c r="M50" s="125"/>
      <c r="N50" s="125"/>
    </row>
    <row r="51" spans="1:14" ht="13.2">
      <c r="A51" s="214" t="s">
        <v>428</v>
      </c>
      <c r="B51" s="162"/>
      <c r="C51" s="214" t="s">
        <v>429</v>
      </c>
      <c r="D51" s="162"/>
      <c r="E51" s="214" t="s">
        <v>411</v>
      </c>
      <c r="F51" s="162"/>
      <c r="G51" s="214" t="s">
        <v>412</v>
      </c>
      <c r="H51" s="161"/>
      <c r="I51" s="161"/>
      <c r="J51" s="161"/>
      <c r="K51" s="161"/>
      <c r="L51" s="161"/>
      <c r="M51" s="161"/>
      <c r="N51" s="162"/>
    </row>
    <row r="52" spans="1:14" ht="13.2">
      <c r="A52" s="163"/>
      <c r="B52" s="165"/>
      <c r="C52" s="163"/>
      <c r="D52" s="165"/>
      <c r="E52" s="163"/>
      <c r="F52" s="165"/>
      <c r="G52" s="163"/>
      <c r="H52" s="164"/>
      <c r="I52" s="164"/>
      <c r="J52" s="164"/>
      <c r="K52" s="164"/>
      <c r="L52" s="164"/>
      <c r="M52" s="164"/>
      <c r="N52" s="165"/>
    </row>
    <row r="53" spans="1:14" ht="13.2">
      <c r="A53" s="215" t="s">
        <v>430</v>
      </c>
      <c r="B53" s="162"/>
      <c r="C53" s="215" t="s">
        <v>431</v>
      </c>
      <c r="D53" s="162"/>
      <c r="E53" s="215" t="s">
        <v>432</v>
      </c>
      <c r="F53" s="162"/>
      <c r="G53" s="215" t="s">
        <v>433</v>
      </c>
      <c r="H53" s="161"/>
      <c r="I53" s="161"/>
      <c r="J53" s="161"/>
      <c r="K53" s="161"/>
      <c r="L53" s="161"/>
      <c r="M53" s="161"/>
      <c r="N53" s="162"/>
    </row>
    <row r="54" spans="1:14" ht="13.2">
      <c r="A54" s="194"/>
      <c r="B54" s="171"/>
      <c r="C54" s="194"/>
      <c r="D54" s="171"/>
      <c r="E54" s="194"/>
      <c r="F54" s="171"/>
      <c r="G54" s="194"/>
      <c r="H54" s="170"/>
      <c r="I54" s="170"/>
      <c r="J54" s="170"/>
      <c r="K54" s="170"/>
      <c r="L54" s="170"/>
      <c r="M54" s="170"/>
      <c r="N54" s="171"/>
    </row>
    <row r="55" spans="1:14" ht="13.2">
      <c r="A55" s="194"/>
      <c r="B55" s="171"/>
      <c r="C55" s="194"/>
      <c r="D55" s="171"/>
      <c r="E55" s="194"/>
      <c r="F55" s="171"/>
      <c r="G55" s="194"/>
      <c r="H55" s="170"/>
      <c r="I55" s="170"/>
      <c r="J55" s="170"/>
      <c r="K55" s="170"/>
      <c r="L55" s="170"/>
      <c r="M55" s="170"/>
      <c r="N55" s="171"/>
    </row>
    <row r="56" spans="1:14" ht="13.2">
      <c r="A56" s="194"/>
      <c r="B56" s="171"/>
      <c r="C56" s="194"/>
      <c r="D56" s="171"/>
      <c r="E56" s="194"/>
      <c r="F56" s="171"/>
      <c r="G56" s="194"/>
      <c r="H56" s="170"/>
      <c r="I56" s="170"/>
      <c r="J56" s="170"/>
      <c r="K56" s="170"/>
      <c r="L56" s="170"/>
      <c r="M56" s="170"/>
      <c r="N56" s="171"/>
    </row>
    <row r="57" spans="1:14" ht="13.2">
      <c r="A57" s="194"/>
      <c r="B57" s="171"/>
      <c r="C57" s="194"/>
      <c r="D57" s="171"/>
      <c r="E57" s="194"/>
      <c r="F57" s="171"/>
      <c r="G57" s="194"/>
      <c r="H57" s="170"/>
      <c r="I57" s="170"/>
      <c r="J57" s="170"/>
      <c r="K57" s="170"/>
      <c r="L57" s="170"/>
      <c r="M57" s="170"/>
      <c r="N57" s="171"/>
    </row>
    <row r="58" spans="1:14" ht="15" customHeight="1">
      <c r="A58" s="163"/>
      <c r="B58" s="165"/>
      <c r="C58" s="163"/>
      <c r="D58" s="165"/>
      <c r="E58" s="163"/>
      <c r="F58" s="165"/>
      <c r="G58" s="163"/>
      <c r="H58" s="164"/>
      <c r="I58" s="164"/>
      <c r="J58" s="164"/>
      <c r="K58" s="164"/>
      <c r="L58" s="164"/>
      <c r="M58" s="164"/>
      <c r="N58" s="165"/>
    </row>
    <row r="59" spans="1:14" ht="13.2">
      <c r="A59" s="125"/>
      <c r="B59" s="125"/>
      <c r="C59" s="125"/>
      <c r="D59" s="125"/>
      <c r="E59" s="125"/>
      <c r="F59" s="125"/>
      <c r="G59" s="125"/>
      <c r="H59" s="125"/>
      <c r="I59" s="125"/>
      <c r="J59" s="125"/>
      <c r="K59" s="125"/>
      <c r="L59" s="125"/>
      <c r="M59" s="125"/>
      <c r="N59" s="125"/>
    </row>
    <row r="60" spans="1:14" ht="15">
      <c r="A60" s="218" t="s">
        <v>434</v>
      </c>
      <c r="B60" s="158"/>
      <c r="C60" s="158"/>
      <c r="D60" s="158"/>
      <c r="E60" s="158"/>
      <c r="F60" s="158"/>
      <c r="G60" s="158"/>
      <c r="H60" s="158"/>
      <c r="I60" s="159"/>
      <c r="J60" s="126"/>
      <c r="K60" s="216" t="s">
        <v>69</v>
      </c>
      <c r="L60" s="170"/>
      <c r="M60" s="170"/>
      <c r="N60" s="170"/>
    </row>
    <row r="61" spans="1:14" ht="30">
      <c r="A61" s="127" t="s">
        <v>435</v>
      </c>
      <c r="B61" s="127" t="s">
        <v>419</v>
      </c>
      <c r="C61" s="218"/>
      <c r="D61" s="158"/>
      <c r="E61" s="158"/>
      <c r="F61" s="158"/>
      <c r="G61" s="159"/>
      <c r="H61" s="212" t="s">
        <v>393</v>
      </c>
      <c r="I61" s="213" t="s">
        <v>394</v>
      </c>
      <c r="J61" s="126"/>
      <c r="K61" s="170"/>
      <c r="L61" s="170"/>
      <c r="M61" s="170"/>
      <c r="N61" s="170"/>
    </row>
    <row r="62" spans="1:14" ht="15">
      <c r="A62" s="128" t="s">
        <v>395</v>
      </c>
      <c r="B62" s="129">
        <f>SUM(B63:B69)</f>
        <v>1500</v>
      </c>
      <c r="C62" s="130" t="s">
        <v>396</v>
      </c>
      <c r="D62" s="130" t="s">
        <v>397</v>
      </c>
      <c r="E62" s="130" t="s">
        <v>398</v>
      </c>
      <c r="F62" s="130" t="s">
        <v>397</v>
      </c>
      <c r="G62" s="130" t="s">
        <v>400</v>
      </c>
      <c r="H62" s="197"/>
      <c r="I62" s="197"/>
      <c r="J62" s="125"/>
      <c r="K62" s="221" t="s">
        <v>481</v>
      </c>
      <c r="L62" s="161"/>
      <c r="M62" s="161"/>
      <c r="N62" s="162"/>
    </row>
    <row r="63" spans="1:14" ht="15">
      <c r="A63" s="131" t="s">
        <v>436</v>
      </c>
      <c r="B63" s="132">
        <v>100</v>
      </c>
      <c r="C63" s="133">
        <v>0.59</v>
      </c>
      <c r="D63" s="140">
        <v>0.93220000000000003</v>
      </c>
      <c r="E63" s="135">
        <v>0.55000000000000004</v>
      </c>
      <c r="F63" s="140">
        <v>0.87270000000000003</v>
      </c>
      <c r="G63" s="136">
        <v>0.48</v>
      </c>
      <c r="H63" s="140">
        <v>16</v>
      </c>
      <c r="I63" s="219">
        <v>0.15579999999999999</v>
      </c>
      <c r="J63" s="125"/>
      <c r="K63" s="194"/>
      <c r="L63" s="170"/>
      <c r="M63" s="170"/>
      <c r="N63" s="171"/>
    </row>
    <row r="64" spans="1:14" ht="15">
      <c r="A64" s="131" t="s">
        <v>437</v>
      </c>
      <c r="B64" s="132">
        <v>250</v>
      </c>
      <c r="C64" s="139">
        <v>0.62</v>
      </c>
      <c r="D64" s="140">
        <v>0.9839</v>
      </c>
      <c r="E64" s="141">
        <v>0.61</v>
      </c>
      <c r="F64" s="140">
        <v>0.83609999999999995</v>
      </c>
      <c r="G64" s="142">
        <v>0.51</v>
      </c>
      <c r="H64" s="140">
        <v>48</v>
      </c>
      <c r="I64" s="219">
        <v>0.19289999999999999</v>
      </c>
      <c r="J64" s="125"/>
      <c r="K64" s="194"/>
      <c r="L64" s="170"/>
      <c r="M64" s="170"/>
      <c r="N64" s="171"/>
    </row>
    <row r="65" spans="1:14" ht="15">
      <c r="A65" s="131" t="s">
        <v>438</v>
      </c>
      <c r="B65" s="132">
        <v>210</v>
      </c>
      <c r="C65" s="144">
        <v>0.7</v>
      </c>
      <c r="D65" s="140">
        <v>0.87139999999999995</v>
      </c>
      <c r="E65" s="139">
        <v>0.61</v>
      </c>
      <c r="F65" s="140">
        <v>0.90159999999999996</v>
      </c>
      <c r="G65" s="145">
        <v>0.55000000000000004</v>
      </c>
      <c r="H65" s="140">
        <v>49</v>
      </c>
      <c r="I65" s="219">
        <v>0.2349</v>
      </c>
      <c r="J65" s="125"/>
      <c r="K65" s="194"/>
      <c r="L65" s="170"/>
      <c r="M65" s="170"/>
      <c r="N65" s="171"/>
    </row>
    <row r="66" spans="1:14" ht="15">
      <c r="A66" s="131" t="s">
        <v>439</v>
      </c>
      <c r="B66" s="132">
        <v>250</v>
      </c>
      <c r="C66" s="139">
        <v>0.83</v>
      </c>
      <c r="D66" s="140">
        <v>0.91569999999999996</v>
      </c>
      <c r="E66" s="141">
        <v>0.76</v>
      </c>
      <c r="F66" s="140">
        <v>0.92110000000000003</v>
      </c>
      <c r="G66" s="146">
        <v>0.7</v>
      </c>
      <c r="H66" s="140">
        <v>110</v>
      </c>
      <c r="I66" s="219">
        <v>0.44159999999999999</v>
      </c>
      <c r="J66" s="125"/>
      <c r="K66" s="194"/>
      <c r="L66" s="170"/>
      <c r="M66" s="170"/>
      <c r="N66" s="171"/>
    </row>
    <row r="67" spans="1:14" ht="15">
      <c r="A67" s="131" t="s">
        <v>440</v>
      </c>
      <c r="B67" s="132">
        <v>220</v>
      </c>
      <c r="C67" s="144">
        <v>0.86</v>
      </c>
      <c r="D67" s="140">
        <v>0.90700000000000003</v>
      </c>
      <c r="E67" s="147">
        <v>0.78</v>
      </c>
      <c r="F67" s="140">
        <v>0.93589999999999995</v>
      </c>
      <c r="G67" s="148">
        <v>0.73</v>
      </c>
      <c r="H67" s="140">
        <v>108</v>
      </c>
      <c r="I67" s="219">
        <v>0.48970000000000002</v>
      </c>
      <c r="J67" s="125"/>
      <c r="K67" s="194"/>
      <c r="L67" s="170"/>
      <c r="M67" s="170"/>
      <c r="N67" s="171"/>
    </row>
    <row r="68" spans="1:14" ht="15">
      <c r="A68" s="131" t="s">
        <v>441</v>
      </c>
      <c r="B68" s="132">
        <v>270</v>
      </c>
      <c r="C68" s="145">
        <v>0.87206396801599195</v>
      </c>
      <c r="D68" s="156">
        <v>0.92879999999999996</v>
      </c>
      <c r="E68" s="149">
        <v>0.81</v>
      </c>
      <c r="F68" s="156">
        <v>0.9012</v>
      </c>
      <c r="G68" s="150">
        <v>0.73</v>
      </c>
      <c r="H68" s="156">
        <v>139</v>
      </c>
      <c r="I68" s="220">
        <v>0.51570000000000005</v>
      </c>
      <c r="J68" s="125"/>
      <c r="K68" s="194"/>
      <c r="L68" s="170"/>
      <c r="M68" s="170"/>
      <c r="N68" s="171"/>
    </row>
    <row r="69" spans="1:14" ht="15">
      <c r="A69" s="131" t="s">
        <v>442</v>
      </c>
      <c r="B69" s="132">
        <v>200</v>
      </c>
      <c r="C69" s="136">
        <v>0.88</v>
      </c>
      <c r="D69" s="156">
        <v>0.90910000000000002</v>
      </c>
      <c r="E69" s="146">
        <v>0.8</v>
      </c>
      <c r="F69" s="156">
        <v>0.88749999999999996</v>
      </c>
      <c r="G69" s="151">
        <v>0.71</v>
      </c>
      <c r="H69" s="156">
        <v>100</v>
      </c>
      <c r="I69" s="220">
        <v>0.49980000000000002</v>
      </c>
      <c r="J69" s="125"/>
      <c r="K69" s="194"/>
      <c r="L69" s="170"/>
      <c r="M69" s="170"/>
      <c r="N69" s="171"/>
    </row>
    <row r="70" spans="1:14" ht="15">
      <c r="A70" s="128" t="s">
        <v>172</v>
      </c>
      <c r="B70" s="154">
        <f>AVERAGE(B63:B69)</f>
        <v>214.28571428571428</v>
      </c>
      <c r="C70" s="155">
        <f>AVERAGE(C63:C69)</f>
        <v>0.76458056685942732</v>
      </c>
      <c r="D70" s="156">
        <v>0.92120000000000002</v>
      </c>
      <c r="E70" s="155">
        <f>AVERAGE(E63:E69)</f>
        <v>0.70285714285714296</v>
      </c>
      <c r="F70" s="156">
        <v>0.89370000000000005</v>
      </c>
      <c r="G70" s="155">
        <f>AVERAGE(G63:G69)</f>
        <v>0.63</v>
      </c>
      <c r="H70" s="156">
        <v>81.400000000000006</v>
      </c>
      <c r="I70" s="220">
        <v>0.36149999999999999</v>
      </c>
      <c r="J70" s="125"/>
      <c r="K70" s="163"/>
      <c r="L70" s="164"/>
      <c r="M70" s="164"/>
      <c r="N70" s="165"/>
    </row>
    <row r="71" spans="1:14" ht="13.2">
      <c r="A71" s="125"/>
      <c r="B71" s="125"/>
      <c r="C71" s="125"/>
      <c r="D71" s="125"/>
      <c r="E71" s="125"/>
      <c r="F71" s="125"/>
      <c r="G71" s="125"/>
      <c r="H71" s="125"/>
      <c r="I71" s="125"/>
      <c r="J71" s="125"/>
      <c r="K71" s="125"/>
      <c r="L71" s="125"/>
      <c r="M71" s="125"/>
      <c r="N71" s="125"/>
    </row>
    <row r="72" spans="1:14" ht="13.2">
      <c r="A72" s="214" t="s">
        <v>443</v>
      </c>
      <c r="B72" s="162"/>
      <c r="C72" s="214" t="s">
        <v>444</v>
      </c>
      <c r="D72" s="162"/>
      <c r="E72" s="214" t="s">
        <v>411</v>
      </c>
      <c r="F72" s="162"/>
      <c r="G72" s="214" t="s">
        <v>412</v>
      </c>
      <c r="H72" s="161"/>
      <c r="I72" s="161"/>
      <c r="J72" s="161"/>
      <c r="K72" s="161"/>
      <c r="L72" s="161"/>
      <c r="M72" s="161"/>
      <c r="N72" s="162"/>
    </row>
    <row r="73" spans="1:14" ht="13.2">
      <c r="A73" s="163"/>
      <c r="B73" s="165"/>
      <c r="C73" s="163"/>
      <c r="D73" s="165"/>
      <c r="E73" s="163"/>
      <c r="F73" s="165"/>
      <c r="G73" s="163"/>
      <c r="H73" s="164"/>
      <c r="I73" s="164"/>
      <c r="J73" s="164"/>
      <c r="K73" s="164"/>
      <c r="L73" s="164"/>
      <c r="M73" s="164"/>
      <c r="N73" s="165"/>
    </row>
    <row r="74" spans="1:14" ht="13.2">
      <c r="A74" s="215" t="s">
        <v>445</v>
      </c>
      <c r="B74" s="162"/>
      <c r="C74" s="215" t="s">
        <v>446</v>
      </c>
      <c r="D74" s="162"/>
      <c r="E74" s="215" t="s">
        <v>447</v>
      </c>
      <c r="F74" s="162"/>
      <c r="G74" s="215" t="s">
        <v>448</v>
      </c>
      <c r="H74" s="161"/>
      <c r="I74" s="161"/>
      <c r="J74" s="161"/>
      <c r="K74" s="161"/>
      <c r="L74" s="161"/>
      <c r="M74" s="161"/>
      <c r="N74" s="162"/>
    </row>
    <row r="75" spans="1:14" ht="13.2">
      <c r="A75" s="194"/>
      <c r="B75" s="171"/>
      <c r="C75" s="194"/>
      <c r="D75" s="171"/>
      <c r="E75" s="194"/>
      <c r="F75" s="171"/>
      <c r="G75" s="194"/>
      <c r="H75" s="170"/>
      <c r="I75" s="170"/>
      <c r="J75" s="170"/>
      <c r="K75" s="170"/>
      <c r="L75" s="170"/>
      <c r="M75" s="170"/>
      <c r="N75" s="171"/>
    </row>
    <row r="76" spans="1:14" ht="13.2">
      <c r="A76" s="194"/>
      <c r="B76" s="171"/>
      <c r="C76" s="194"/>
      <c r="D76" s="171"/>
      <c r="E76" s="194"/>
      <c r="F76" s="171"/>
      <c r="G76" s="194"/>
      <c r="H76" s="170"/>
      <c r="I76" s="170"/>
      <c r="J76" s="170"/>
      <c r="K76" s="170"/>
      <c r="L76" s="170"/>
      <c r="M76" s="170"/>
      <c r="N76" s="171"/>
    </row>
    <row r="77" spans="1:14" ht="13.2">
      <c r="A77" s="194"/>
      <c r="B77" s="171"/>
      <c r="C77" s="194"/>
      <c r="D77" s="171"/>
      <c r="E77" s="194"/>
      <c r="F77" s="171"/>
      <c r="G77" s="194"/>
      <c r="H77" s="170"/>
      <c r="I77" s="170"/>
      <c r="J77" s="170"/>
      <c r="K77" s="170"/>
      <c r="L77" s="170"/>
      <c r="M77" s="170"/>
      <c r="N77" s="171"/>
    </row>
    <row r="78" spans="1:14" ht="13.2">
      <c r="A78" s="194"/>
      <c r="B78" s="171"/>
      <c r="C78" s="194"/>
      <c r="D78" s="171"/>
      <c r="E78" s="194"/>
      <c r="F78" s="171"/>
      <c r="G78" s="194"/>
      <c r="H78" s="170"/>
      <c r="I78" s="170"/>
      <c r="J78" s="170"/>
      <c r="K78" s="170"/>
      <c r="L78" s="170"/>
      <c r="M78" s="170"/>
      <c r="N78" s="171"/>
    </row>
    <row r="79" spans="1:14" ht="15" customHeight="1">
      <c r="A79" s="163"/>
      <c r="B79" s="165"/>
      <c r="C79" s="163"/>
      <c r="D79" s="165"/>
      <c r="E79" s="163"/>
      <c r="F79" s="165"/>
      <c r="G79" s="163"/>
      <c r="H79" s="164"/>
      <c r="I79" s="164"/>
      <c r="J79" s="164"/>
      <c r="K79" s="164"/>
      <c r="L79" s="164"/>
      <c r="M79" s="164"/>
      <c r="N79" s="165"/>
    </row>
    <row r="80" spans="1:14" ht="13.2">
      <c r="A80" s="125"/>
      <c r="B80" s="125"/>
      <c r="C80" s="125"/>
      <c r="D80" s="125"/>
      <c r="E80" s="125"/>
      <c r="F80" s="125"/>
      <c r="G80" s="125"/>
      <c r="H80" s="125"/>
      <c r="I80" s="125"/>
      <c r="J80" s="125"/>
      <c r="K80" s="125"/>
      <c r="L80" s="125"/>
      <c r="M80" s="125"/>
      <c r="N80" s="125"/>
    </row>
    <row r="81" spans="1:14" ht="15">
      <c r="A81" s="218" t="s">
        <v>449</v>
      </c>
      <c r="B81" s="158"/>
      <c r="C81" s="158"/>
      <c r="D81" s="158"/>
      <c r="E81" s="158"/>
      <c r="F81" s="158"/>
      <c r="G81" s="158"/>
      <c r="H81" s="158"/>
      <c r="I81" s="159"/>
      <c r="J81" s="126"/>
      <c r="K81" s="216" t="s">
        <v>69</v>
      </c>
      <c r="L81" s="170"/>
      <c r="M81" s="170"/>
      <c r="N81" s="170"/>
    </row>
    <row r="82" spans="1:14" ht="30">
      <c r="A82" s="127" t="s">
        <v>450</v>
      </c>
      <c r="B82" s="127" t="s">
        <v>419</v>
      </c>
      <c r="C82" s="218"/>
      <c r="D82" s="158"/>
      <c r="E82" s="158"/>
      <c r="F82" s="158"/>
      <c r="G82" s="159"/>
      <c r="H82" s="212" t="s">
        <v>393</v>
      </c>
      <c r="I82" s="213" t="s">
        <v>394</v>
      </c>
      <c r="J82" s="126"/>
      <c r="K82" s="170"/>
      <c r="L82" s="170"/>
      <c r="M82" s="170"/>
      <c r="N82" s="170"/>
    </row>
    <row r="83" spans="1:14" ht="15">
      <c r="A83" s="128" t="s">
        <v>395</v>
      </c>
      <c r="B83" s="129">
        <f>SUM(B84:B88)</f>
        <v>1490</v>
      </c>
      <c r="C83" s="130" t="s">
        <v>396</v>
      </c>
      <c r="D83" s="130" t="s">
        <v>397</v>
      </c>
      <c r="E83" s="130" t="s">
        <v>398</v>
      </c>
      <c r="F83" s="130" t="s">
        <v>397</v>
      </c>
      <c r="G83" s="130" t="s">
        <v>400</v>
      </c>
      <c r="H83" s="197"/>
      <c r="I83" s="197"/>
      <c r="J83" s="125"/>
      <c r="K83" s="221" t="s">
        <v>480</v>
      </c>
      <c r="L83" s="161"/>
      <c r="M83" s="161"/>
      <c r="N83" s="162"/>
    </row>
    <row r="84" spans="1:14" ht="15">
      <c r="A84" s="131" t="s">
        <v>451</v>
      </c>
      <c r="B84" s="132">
        <v>250</v>
      </c>
      <c r="C84" s="133">
        <v>0.72</v>
      </c>
      <c r="D84" s="140">
        <v>0.94440000000000002</v>
      </c>
      <c r="E84" s="135">
        <v>0.68</v>
      </c>
      <c r="F84" s="140">
        <v>0.88239999999999996</v>
      </c>
      <c r="G84" s="136">
        <v>0.6</v>
      </c>
      <c r="H84" s="140">
        <v>73</v>
      </c>
      <c r="I84" s="219">
        <v>0.29380000000000001</v>
      </c>
      <c r="J84" s="125"/>
      <c r="K84" s="194"/>
      <c r="L84" s="170"/>
      <c r="M84" s="170"/>
      <c r="N84" s="171"/>
    </row>
    <row r="85" spans="1:14" ht="15">
      <c r="A85" s="131" t="s">
        <v>452</v>
      </c>
      <c r="B85" s="132">
        <v>310</v>
      </c>
      <c r="C85" s="139">
        <v>0.76</v>
      </c>
      <c r="D85" s="140">
        <v>0.92110000000000003</v>
      </c>
      <c r="E85" s="141">
        <v>0.7</v>
      </c>
      <c r="F85" s="140">
        <v>0.84289999999999998</v>
      </c>
      <c r="G85" s="142">
        <v>0.59</v>
      </c>
      <c r="H85" s="140">
        <v>97</v>
      </c>
      <c r="I85" s="219">
        <v>0.31390000000000001</v>
      </c>
      <c r="J85" s="125"/>
      <c r="K85" s="194"/>
      <c r="L85" s="170"/>
      <c r="M85" s="170"/>
      <c r="N85" s="171"/>
    </row>
    <row r="86" spans="1:14" ht="15">
      <c r="A86" s="131" t="s">
        <v>453</v>
      </c>
      <c r="B86" s="132">
        <v>390</v>
      </c>
      <c r="C86" s="144">
        <v>0.8</v>
      </c>
      <c r="D86" s="156">
        <v>0.91249999999999998</v>
      </c>
      <c r="E86" s="139">
        <v>0.73</v>
      </c>
      <c r="F86" s="156">
        <v>0.89039999999999997</v>
      </c>
      <c r="G86" s="145">
        <v>0.65</v>
      </c>
      <c r="H86" s="156">
        <v>148</v>
      </c>
      <c r="I86" s="220">
        <v>0.37959999999999999</v>
      </c>
      <c r="J86" s="125"/>
      <c r="K86" s="194"/>
      <c r="L86" s="170"/>
      <c r="M86" s="170"/>
      <c r="N86" s="171"/>
    </row>
    <row r="87" spans="1:14" ht="15">
      <c r="A87" s="131" t="s">
        <v>454</v>
      </c>
      <c r="B87" s="132">
        <v>430</v>
      </c>
      <c r="C87" s="139">
        <v>0.83</v>
      </c>
      <c r="D87" s="156">
        <v>0.93979999999999997</v>
      </c>
      <c r="E87" s="141">
        <v>0.78</v>
      </c>
      <c r="F87" s="156">
        <v>0.9103</v>
      </c>
      <c r="G87" s="146">
        <v>0.71</v>
      </c>
      <c r="H87" s="156">
        <v>198</v>
      </c>
      <c r="I87" s="220">
        <v>0.4597</v>
      </c>
      <c r="J87" s="125"/>
      <c r="K87" s="194"/>
      <c r="L87" s="170"/>
      <c r="M87" s="170"/>
      <c r="N87" s="171"/>
    </row>
    <row r="88" spans="1:14" ht="15">
      <c r="A88" s="131" t="s">
        <v>455</v>
      </c>
      <c r="B88" s="132">
        <v>110</v>
      </c>
      <c r="C88" s="144">
        <v>0.7</v>
      </c>
      <c r="D88" s="156">
        <v>0.94289999999999996</v>
      </c>
      <c r="E88" s="147">
        <v>0.66</v>
      </c>
      <c r="F88" s="156">
        <v>0.87880000000000003</v>
      </c>
      <c r="G88" s="148">
        <v>0.57999999999999996</v>
      </c>
      <c r="H88" s="156">
        <v>29</v>
      </c>
      <c r="I88" s="220">
        <v>0.26800000000000002</v>
      </c>
      <c r="J88" s="125"/>
      <c r="K88" s="194"/>
      <c r="L88" s="170"/>
      <c r="M88" s="170"/>
      <c r="N88" s="171"/>
    </row>
    <row r="89" spans="1:14" ht="15">
      <c r="A89" s="128" t="s">
        <v>172</v>
      </c>
      <c r="B89" s="129">
        <f>AVERAGE(B84:B88)</f>
        <v>298</v>
      </c>
      <c r="C89" s="155">
        <f>AVERAGE(C84:C88)</f>
        <v>0.76200000000000012</v>
      </c>
      <c r="D89" s="156">
        <v>0.93210000000000004</v>
      </c>
      <c r="E89" s="155">
        <f>AVERAGE(E84:E88)</f>
        <v>0.71</v>
      </c>
      <c r="F89" s="156">
        <v>0.88100000000000001</v>
      </c>
      <c r="G89" s="155">
        <f>AVERAGE(G84:G88)</f>
        <v>0.626</v>
      </c>
      <c r="H89" s="156">
        <v>109</v>
      </c>
      <c r="I89" s="220">
        <v>0.34300000000000003</v>
      </c>
      <c r="J89" s="125"/>
      <c r="K89" s="163"/>
      <c r="L89" s="164"/>
      <c r="M89" s="164"/>
      <c r="N89" s="165"/>
    </row>
    <row r="90" spans="1:14" ht="13.2">
      <c r="A90" s="125"/>
      <c r="B90" s="125"/>
      <c r="C90" s="125"/>
      <c r="D90" s="125"/>
      <c r="E90" s="125"/>
      <c r="F90" s="125"/>
      <c r="G90" s="125"/>
      <c r="H90" s="125"/>
      <c r="I90" s="125"/>
      <c r="J90" s="125"/>
      <c r="K90" s="125"/>
      <c r="L90" s="125"/>
      <c r="M90" s="125"/>
      <c r="N90" s="125"/>
    </row>
    <row r="91" spans="1:14" ht="13.2">
      <c r="A91" s="214" t="s">
        <v>456</v>
      </c>
      <c r="B91" s="162"/>
      <c r="C91" s="214" t="s">
        <v>457</v>
      </c>
      <c r="D91" s="162"/>
      <c r="E91" s="214" t="s">
        <v>411</v>
      </c>
      <c r="F91" s="162"/>
      <c r="G91" s="214" t="s">
        <v>412</v>
      </c>
      <c r="H91" s="161"/>
      <c r="I91" s="161"/>
      <c r="J91" s="161"/>
      <c r="K91" s="161"/>
      <c r="L91" s="161"/>
      <c r="M91" s="161"/>
      <c r="N91" s="162"/>
    </row>
    <row r="92" spans="1:14" ht="13.2">
      <c r="A92" s="163"/>
      <c r="B92" s="165"/>
      <c r="C92" s="163"/>
      <c r="D92" s="165"/>
      <c r="E92" s="163"/>
      <c r="F92" s="165"/>
      <c r="G92" s="163"/>
      <c r="H92" s="164"/>
      <c r="I92" s="164"/>
      <c r="J92" s="164"/>
      <c r="K92" s="164"/>
      <c r="L92" s="164"/>
      <c r="M92" s="164"/>
      <c r="N92" s="165"/>
    </row>
    <row r="93" spans="1:14" ht="13.2">
      <c r="A93" s="215" t="s">
        <v>458</v>
      </c>
      <c r="B93" s="162"/>
      <c r="C93" s="215" t="s">
        <v>459</v>
      </c>
      <c r="D93" s="162"/>
      <c r="E93" s="215" t="s">
        <v>460</v>
      </c>
      <c r="F93" s="162"/>
      <c r="G93" s="215" t="s">
        <v>461</v>
      </c>
      <c r="H93" s="161"/>
      <c r="I93" s="161"/>
      <c r="J93" s="161"/>
      <c r="K93" s="161"/>
      <c r="L93" s="161"/>
      <c r="M93" s="161"/>
      <c r="N93" s="162"/>
    </row>
    <row r="94" spans="1:14" ht="13.2">
      <c r="A94" s="194"/>
      <c r="B94" s="171"/>
      <c r="C94" s="194"/>
      <c r="D94" s="171"/>
      <c r="E94" s="194"/>
      <c r="F94" s="171"/>
      <c r="G94" s="194"/>
      <c r="H94" s="170"/>
      <c r="I94" s="170"/>
      <c r="J94" s="170"/>
      <c r="K94" s="170"/>
      <c r="L94" s="170"/>
      <c r="M94" s="170"/>
      <c r="N94" s="171"/>
    </row>
    <row r="95" spans="1:14" ht="13.2">
      <c r="A95" s="194"/>
      <c r="B95" s="171"/>
      <c r="C95" s="194"/>
      <c r="D95" s="171"/>
      <c r="E95" s="194"/>
      <c r="F95" s="171"/>
      <c r="G95" s="194"/>
      <c r="H95" s="170"/>
      <c r="I95" s="170"/>
      <c r="J95" s="170"/>
      <c r="K95" s="170"/>
      <c r="L95" s="170"/>
      <c r="M95" s="170"/>
      <c r="N95" s="171"/>
    </row>
    <row r="96" spans="1:14" ht="13.2">
      <c r="A96" s="194"/>
      <c r="B96" s="171"/>
      <c r="C96" s="194"/>
      <c r="D96" s="171"/>
      <c r="E96" s="194"/>
      <c r="F96" s="171"/>
      <c r="G96" s="194"/>
      <c r="H96" s="170"/>
      <c r="I96" s="170"/>
      <c r="J96" s="170"/>
      <c r="K96" s="170"/>
      <c r="L96" s="170"/>
      <c r="M96" s="170"/>
      <c r="N96" s="171"/>
    </row>
    <row r="97" spans="1:14" ht="13.2">
      <c r="A97" s="194"/>
      <c r="B97" s="171"/>
      <c r="C97" s="194"/>
      <c r="D97" s="171"/>
      <c r="E97" s="194"/>
      <c r="F97" s="171"/>
      <c r="G97" s="194"/>
      <c r="H97" s="170"/>
      <c r="I97" s="170"/>
      <c r="J97" s="170"/>
      <c r="K97" s="170"/>
      <c r="L97" s="170"/>
      <c r="M97" s="170"/>
      <c r="N97" s="171"/>
    </row>
    <row r="98" spans="1:14" ht="24" customHeight="1">
      <c r="A98" s="163"/>
      <c r="B98" s="165"/>
      <c r="C98" s="163"/>
      <c r="D98" s="165"/>
      <c r="E98" s="163"/>
      <c r="F98" s="165"/>
      <c r="G98" s="163"/>
      <c r="H98" s="164"/>
      <c r="I98" s="164"/>
      <c r="J98" s="164"/>
      <c r="K98" s="164"/>
      <c r="L98" s="164"/>
      <c r="M98" s="164"/>
      <c r="N98" s="165"/>
    </row>
  </sheetData>
  <mergeCells count="71">
    <mergeCell ref="A2:J2"/>
    <mergeCell ref="A16:I16"/>
    <mergeCell ref="E29:F30"/>
    <mergeCell ref="G29:N30"/>
    <mergeCell ref="A3:J3"/>
    <mergeCell ref="A12:J12"/>
    <mergeCell ref="K16:N17"/>
    <mergeCell ref="K62:N70"/>
    <mergeCell ref="A93:B98"/>
    <mergeCell ref="I82:I83"/>
    <mergeCell ref="K83:N89"/>
    <mergeCell ref="A7:J7"/>
    <mergeCell ref="E93:F98"/>
    <mergeCell ref="C53:D58"/>
    <mergeCell ref="C61:G61"/>
    <mergeCell ref="K38:N39"/>
    <mergeCell ref="C39:G39"/>
    <mergeCell ref="A31:B36"/>
    <mergeCell ref="G31:N36"/>
    <mergeCell ref="C17:G17"/>
    <mergeCell ref="K40:N49"/>
    <mergeCell ref="A51:B52"/>
    <mergeCell ref="C74:D79"/>
    <mergeCell ref="A1:N1"/>
    <mergeCell ref="C51:D52"/>
    <mergeCell ref="K81:N82"/>
    <mergeCell ref="K18:N27"/>
    <mergeCell ref="H39:H40"/>
    <mergeCell ref="G74:N79"/>
    <mergeCell ref="G51:N52"/>
    <mergeCell ref="A72:B73"/>
    <mergeCell ref="H61:H62"/>
    <mergeCell ref="H17:H18"/>
    <mergeCell ref="C72:D73"/>
    <mergeCell ref="A9:J9"/>
    <mergeCell ref="E72:F73"/>
    <mergeCell ref="A29:B30"/>
    <mergeCell ref="G72:N73"/>
    <mergeCell ref="A15:J15"/>
    <mergeCell ref="A91:B92"/>
    <mergeCell ref="C93:D98"/>
    <mergeCell ref="A4:J4"/>
    <mergeCell ref="K60:N61"/>
    <mergeCell ref="G93:N98"/>
    <mergeCell ref="C31:D36"/>
    <mergeCell ref="G53:N58"/>
    <mergeCell ref="E74:F79"/>
    <mergeCell ref="E31:F36"/>
    <mergeCell ref="A74:B79"/>
    <mergeCell ref="A10:J10"/>
    <mergeCell ref="A13:J13"/>
    <mergeCell ref="C91:D92"/>
    <mergeCell ref="E91:F92"/>
    <mergeCell ref="G91:N92"/>
    <mergeCell ref="I17:I18"/>
    <mergeCell ref="A5:J5"/>
    <mergeCell ref="H82:H83"/>
    <mergeCell ref="A14:J14"/>
    <mergeCell ref="A8:J8"/>
    <mergeCell ref="I61:I62"/>
    <mergeCell ref="A53:B58"/>
    <mergeCell ref="A38:I38"/>
    <mergeCell ref="A11:J11"/>
    <mergeCell ref="E53:F58"/>
    <mergeCell ref="A81:I81"/>
    <mergeCell ref="I39:I40"/>
    <mergeCell ref="A6:J6"/>
    <mergeCell ref="C82:G82"/>
    <mergeCell ref="E51:F52"/>
    <mergeCell ref="C29:D30"/>
    <mergeCell ref="A60:I60"/>
  </mergeCells>
  <pageMargins left="0.75" right="0.75" top="1" bottom="1" header="0.5" footer="0.5"/>
  <tableParts count="12">
    <tablePart r:id="rId1"/>
    <tablePart r:id="rId2"/>
    <tablePart r:id="rId3"/>
    <tablePart r:id="rId4"/>
    <tablePart r:id="rId5"/>
    <tablePart r:id="rId6"/>
    <tablePart r:id="rId7"/>
    <tablePart r:id="rId8"/>
    <tablePart r:id="rId9"/>
    <tablePart r:id="rId10"/>
    <tablePart r:id="rId1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Deliverables</vt:lpstr>
      <vt:lpstr>Tab 1 - Measure drop-offs</vt:lpstr>
      <vt:lpstr>Tab 2 - Signup Experiments</vt:lpstr>
      <vt:lpstr>Tab 3 - Activation Hypothesis</vt:lpstr>
      <vt:lpstr>Tab 4 - Habit Moment and Metric</vt:lpstr>
      <vt:lpstr>Tab 5 - Aha Moment and Metric A</vt:lpstr>
      <vt:lpstr>Tab 6 - Setup Moment and Metric</vt:lpstr>
      <vt:lpstr>Tab 7 - Activation Funnel</vt:lpstr>
      <vt:lpstr>Tab 8 - Segment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O'Hara</cp:lastModifiedBy>
  <dcterms:created xsi:type="dcterms:W3CDTF">2026-05-09T20:02:01Z</dcterms:created>
  <dcterms:modified xsi:type="dcterms:W3CDTF">2026-05-12T05:29:44Z</dcterms:modified>
</cp:coreProperties>
</file>