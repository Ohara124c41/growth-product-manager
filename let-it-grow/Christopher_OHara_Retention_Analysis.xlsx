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Ohara\Desktop\__Udacity\growth-product-manager\let-it-grow\"/>
    </mc:Choice>
  </mc:AlternateContent>
  <xr:revisionPtr revIDLastSave="0" documentId="13_ncr:1_{6A738580-9B9C-4B7E-B0F9-0201D0ED2AD2}" xr6:coauthVersionLast="47" xr6:coauthVersionMax="47" xr10:uidLastSave="{00000000-0000-0000-0000-000000000000}"/>
  <bookViews>
    <workbookView xWindow="-108" yWindow="-108" windowWidth="23256" windowHeight="13176" firstSheet="6" activeTab="8" xr2:uid="{00000000-000D-0000-FFFF-FFFF00000000}"/>
  </bookViews>
  <sheets>
    <sheet name="Deliverable" sheetId="1" r:id="rId1"/>
    <sheet name="Tab 1 - Engagement Type Analysi" sheetId="2" r:id="rId2"/>
    <sheet name="Tab 2 - Engagement State Analys" sheetId="3" r:id="rId3"/>
    <sheet name="Tab 3 - Retention Cohort Analys" sheetId="4" r:id="rId4"/>
    <sheet name="Tab 4 - Retention Curve " sheetId="5" r:id="rId5"/>
    <sheet name="Tab 5 - Retention Segmentation" sheetId="6" r:id="rId6"/>
    <sheet name="Tab 6 - Lifecycle Chart" sheetId="7" r:id="rId7"/>
    <sheet name="Tab 7 - Churn &amp; LTV Analysis" sheetId="8" r:id="rId8"/>
    <sheet name="Tab 8 - Experment Brief"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8" l="1"/>
  <c r="D17" i="8" s="1"/>
  <c r="E17" i="8" s="1"/>
  <c r="F17" i="8" s="1"/>
  <c r="G17" i="8" s="1"/>
  <c r="H17" i="8" s="1"/>
  <c r="I17" i="8" s="1"/>
  <c r="J17" i="8" s="1"/>
  <c r="K17" i="8" s="1"/>
  <c r="L17" i="8" s="1"/>
  <c r="M17" i="8" s="1"/>
  <c r="B16" i="8"/>
  <c r="C15" i="8"/>
  <c r="D15" i="8" s="1"/>
  <c r="C14" i="8"/>
  <c r="D14" i="8" s="1"/>
  <c r="E14" i="8" s="1"/>
  <c r="F14" i="8" s="1"/>
  <c r="G14" i="8" s="1"/>
  <c r="H14" i="8" s="1"/>
  <c r="I14" i="8" s="1"/>
  <c r="J14" i="8" s="1"/>
  <c r="K14" i="8" s="1"/>
  <c r="L14" i="8" s="1"/>
  <c r="M14" i="8" s="1"/>
  <c r="F54" i="7"/>
  <c r="F53" i="7"/>
  <c r="F52" i="7"/>
  <c r="F51" i="7"/>
  <c r="F50" i="7"/>
  <c r="F49" i="7"/>
  <c r="F48" i="7"/>
  <c r="F47" i="7"/>
  <c r="F46" i="7"/>
  <c r="G45" i="7"/>
  <c r="F45" i="7"/>
  <c r="F44" i="7"/>
  <c r="C40" i="7"/>
  <c r="C39" i="7"/>
  <c r="C38" i="7"/>
  <c r="D37" i="7"/>
  <c r="C37" i="7"/>
  <c r="E36" i="7"/>
  <c r="C36" i="7"/>
  <c r="E35" i="7"/>
  <c r="C35" i="7"/>
  <c r="C34" i="7"/>
  <c r="J33" i="7"/>
  <c r="D33" i="7"/>
  <c r="C33" i="7"/>
  <c r="C32" i="7"/>
  <c r="G31" i="7"/>
  <c r="C31" i="7"/>
  <c r="L30" i="7"/>
  <c r="H30" i="7"/>
  <c r="C30" i="7"/>
  <c r="D44" i="7" s="1"/>
  <c r="D23" i="7"/>
  <c r="D39" i="7" s="1"/>
  <c r="E22" i="7"/>
  <c r="D22" i="7"/>
  <c r="E38" i="7" s="1"/>
  <c r="F21" i="7"/>
  <c r="E21" i="7"/>
  <c r="F37" i="7" s="1"/>
  <c r="D21" i="7"/>
  <c r="E37" i="7" s="1"/>
  <c r="G20" i="7"/>
  <c r="F20" i="7"/>
  <c r="G36" i="7" s="1"/>
  <c r="E20" i="7"/>
  <c r="D20" i="7"/>
  <c r="D36" i="7" s="1"/>
  <c r="H19" i="7"/>
  <c r="G19" i="7"/>
  <c r="H35" i="7" s="1"/>
  <c r="F19" i="7"/>
  <c r="G35" i="7" s="1"/>
  <c r="E19" i="7"/>
  <c r="F35" i="7" s="1"/>
  <c r="D19" i="7"/>
  <c r="D35" i="7" s="1"/>
  <c r="I18" i="7"/>
  <c r="H18" i="7"/>
  <c r="I34" i="7" s="1"/>
  <c r="G18" i="7"/>
  <c r="H34" i="7" s="1"/>
  <c r="F18" i="7"/>
  <c r="G34" i="7" s="1"/>
  <c r="E18" i="7"/>
  <c r="D18" i="7"/>
  <c r="E34" i="7" s="1"/>
  <c r="J17" i="7"/>
  <c r="I17" i="7"/>
  <c r="H17" i="7"/>
  <c r="I33" i="7" s="1"/>
  <c r="G17" i="7"/>
  <c r="F17" i="7"/>
  <c r="G33" i="7" s="1"/>
  <c r="E17" i="7"/>
  <c r="F33" i="7" s="1"/>
  <c r="D17" i="7"/>
  <c r="E33" i="7" s="1"/>
  <c r="K16" i="7"/>
  <c r="K32" i="7" s="1"/>
  <c r="J16" i="7"/>
  <c r="I16" i="7"/>
  <c r="I32" i="7" s="1"/>
  <c r="H16" i="7"/>
  <c r="G16" i="7"/>
  <c r="H32" i="7" s="1"/>
  <c r="F16" i="7"/>
  <c r="E16" i="7"/>
  <c r="F32" i="7" s="1"/>
  <c r="D16" i="7"/>
  <c r="E32" i="7" s="1"/>
  <c r="K15" i="7"/>
  <c r="L31" i="7" s="1"/>
  <c r="J15" i="7"/>
  <c r="I15" i="7"/>
  <c r="J31" i="7" s="1"/>
  <c r="H15" i="7"/>
  <c r="I31" i="7" s="1"/>
  <c r="G15" i="7"/>
  <c r="H31" i="7" s="1"/>
  <c r="F15" i="7"/>
  <c r="E15" i="7"/>
  <c r="F31" i="7" s="1"/>
  <c r="D15" i="7"/>
  <c r="E31" i="7" s="1"/>
  <c r="M14" i="7"/>
  <c r="M30" i="7" s="1"/>
  <c r="L14" i="7"/>
  <c r="K14" i="7"/>
  <c r="K30" i="7" s="1"/>
  <c r="J14" i="7"/>
  <c r="I14" i="7"/>
  <c r="J30" i="7" s="1"/>
  <c r="H14" i="7"/>
  <c r="I30" i="7" s="1"/>
  <c r="G14" i="7"/>
  <c r="F14" i="7"/>
  <c r="G30" i="7" s="1"/>
  <c r="E14" i="7"/>
  <c r="F30" i="7" s="1"/>
  <c r="D14" i="7"/>
  <c r="E30" i="7" s="1"/>
  <c r="B185" i="6"/>
  <c r="D178" i="6"/>
  <c r="E178" i="6" s="1"/>
  <c r="F178" i="6" s="1"/>
  <c r="G178" i="6" s="1"/>
  <c r="H178" i="6" s="1"/>
  <c r="I178" i="6" s="1"/>
  <c r="J178" i="6" s="1"/>
  <c r="K178" i="6" s="1"/>
  <c r="L178" i="6" s="1"/>
  <c r="M178" i="6" s="1"/>
  <c r="N178" i="6" s="1"/>
  <c r="O178" i="6" s="1"/>
  <c r="P178" i="6" s="1"/>
  <c r="Q178" i="6" s="1"/>
  <c r="D177" i="6"/>
  <c r="E177" i="6" s="1"/>
  <c r="F177" i="6" s="1"/>
  <c r="G177" i="6" s="1"/>
  <c r="H177" i="6" s="1"/>
  <c r="I177" i="6" s="1"/>
  <c r="J177" i="6" s="1"/>
  <c r="K177" i="6" s="1"/>
  <c r="L177" i="6" s="1"/>
  <c r="M177" i="6" s="1"/>
  <c r="N177" i="6" s="1"/>
  <c r="O177" i="6" s="1"/>
  <c r="P177" i="6" s="1"/>
  <c r="Q177" i="6" s="1"/>
  <c r="D176" i="6"/>
  <c r="E176" i="6" s="1"/>
  <c r="F176" i="6" s="1"/>
  <c r="G176" i="6" s="1"/>
  <c r="H176" i="6" s="1"/>
  <c r="I176" i="6" s="1"/>
  <c r="J176" i="6" s="1"/>
  <c r="K176" i="6" s="1"/>
  <c r="L176" i="6" s="1"/>
  <c r="M176" i="6" s="1"/>
  <c r="N176" i="6" s="1"/>
  <c r="O176" i="6" s="1"/>
  <c r="P176" i="6" s="1"/>
  <c r="Q176" i="6" s="1"/>
  <c r="D175" i="6"/>
  <c r="E175" i="6" s="1"/>
  <c r="F175" i="6" s="1"/>
  <c r="G175" i="6" s="1"/>
  <c r="H175" i="6" s="1"/>
  <c r="I175" i="6" s="1"/>
  <c r="J175" i="6" s="1"/>
  <c r="K175" i="6" s="1"/>
  <c r="L175" i="6" s="1"/>
  <c r="M175" i="6" s="1"/>
  <c r="N175" i="6" s="1"/>
  <c r="O175" i="6" s="1"/>
  <c r="P175" i="6" s="1"/>
  <c r="Q175" i="6" s="1"/>
  <c r="D174" i="6"/>
  <c r="E174" i="6" s="1"/>
  <c r="F174" i="6" s="1"/>
  <c r="G174" i="6" s="1"/>
  <c r="H174" i="6" s="1"/>
  <c r="I174" i="6" s="1"/>
  <c r="J174" i="6" s="1"/>
  <c r="K174" i="6" s="1"/>
  <c r="L174" i="6" s="1"/>
  <c r="M174" i="6" s="1"/>
  <c r="N174" i="6" s="1"/>
  <c r="O174" i="6" s="1"/>
  <c r="P174" i="6" s="1"/>
  <c r="Q174" i="6" s="1"/>
  <c r="D173" i="6"/>
  <c r="E173" i="6" s="1"/>
  <c r="F173" i="6" s="1"/>
  <c r="G173" i="6" s="1"/>
  <c r="H173" i="6" s="1"/>
  <c r="I173" i="6" s="1"/>
  <c r="J173" i="6" s="1"/>
  <c r="K173" i="6" s="1"/>
  <c r="L173" i="6" s="1"/>
  <c r="M173" i="6" s="1"/>
  <c r="N173" i="6" s="1"/>
  <c r="O173" i="6" s="1"/>
  <c r="P173" i="6" s="1"/>
  <c r="Q173" i="6" s="1"/>
  <c r="B173" i="6"/>
  <c r="B135" i="6"/>
  <c r="D128" i="6"/>
  <c r="E128" i="6" s="1"/>
  <c r="F128" i="6" s="1"/>
  <c r="G128" i="6" s="1"/>
  <c r="H128" i="6" s="1"/>
  <c r="I128" i="6" s="1"/>
  <c r="J128" i="6" s="1"/>
  <c r="K128" i="6" s="1"/>
  <c r="L128" i="6" s="1"/>
  <c r="M128" i="6" s="1"/>
  <c r="N128" i="6" s="1"/>
  <c r="O128" i="6" s="1"/>
  <c r="P128" i="6" s="1"/>
  <c r="Q128" i="6" s="1"/>
  <c r="F127" i="6"/>
  <c r="G127" i="6" s="1"/>
  <c r="H127" i="6" s="1"/>
  <c r="I127" i="6" s="1"/>
  <c r="J127" i="6" s="1"/>
  <c r="K127" i="6" s="1"/>
  <c r="L127" i="6" s="1"/>
  <c r="M127" i="6" s="1"/>
  <c r="N127" i="6" s="1"/>
  <c r="O127" i="6" s="1"/>
  <c r="P127" i="6" s="1"/>
  <c r="Q127" i="6" s="1"/>
  <c r="E127" i="6"/>
  <c r="D127" i="6"/>
  <c r="D126" i="6"/>
  <c r="E126" i="6" s="1"/>
  <c r="F126" i="6" s="1"/>
  <c r="G126" i="6" s="1"/>
  <c r="H126" i="6" s="1"/>
  <c r="I126" i="6" s="1"/>
  <c r="J126" i="6" s="1"/>
  <c r="K126" i="6" s="1"/>
  <c r="L126" i="6" s="1"/>
  <c r="M126" i="6" s="1"/>
  <c r="N126" i="6" s="1"/>
  <c r="O126" i="6" s="1"/>
  <c r="P126" i="6" s="1"/>
  <c r="Q126" i="6" s="1"/>
  <c r="D125" i="6"/>
  <c r="E125" i="6" s="1"/>
  <c r="F125" i="6" s="1"/>
  <c r="G125" i="6" s="1"/>
  <c r="H125" i="6" s="1"/>
  <c r="I125" i="6" s="1"/>
  <c r="J125" i="6" s="1"/>
  <c r="K125" i="6" s="1"/>
  <c r="L125" i="6" s="1"/>
  <c r="M125" i="6" s="1"/>
  <c r="N125" i="6" s="1"/>
  <c r="O125" i="6" s="1"/>
  <c r="P125" i="6" s="1"/>
  <c r="Q125" i="6" s="1"/>
  <c r="D124" i="6"/>
  <c r="E124" i="6" s="1"/>
  <c r="F124" i="6" s="1"/>
  <c r="G124" i="6" s="1"/>
  <c r="H124" i="6" s="1"/>
  <c r="I124" i="6" s="1"/>
  <c r="J124" i="6" s="1"/>
  <c r="K124" i="6" s="1"/>
  <c r="L124" i="6" s="1"/>
  <c r="M124" i="6" s="1"/>
  <c r="N124" i="6" s="1"/>
  <c r="O124" i="6" s="1"/>
  <c r="P124" i="6" s="1"/>
  <c r="Q124" i="6" s="1"/>
  <c r="D123" i="6"/>
  <c r="E123" i="6" s="1"/>
  <c r="F123" i="6" s="1"/>
  <c r="G123" i="6" s="1"/>
  <c r="H123" i="6" s="1"/>
  <c r="I123" i="6" s="1"/>
  <c r="J123" i="6" s="1"/>
  <c r="K123" i="6" s="1"/>
  <c r="L123" i="6" s="1"/>
  <c r="M123" i="6" s="1"/>
  <c r="N123" i="6" s="1"/>
  <c r="O123" i="6" s="1"/>
  <c r="P123" i="6" s="1"/>
  <c r="Q123" i="6" s="1"/>
  <c r="D122" i="6"/>
  <c r="E122" i="6" s="1"/>
  <c r="F122" i="6" s="1"/>
  <c r="G122" i="6" s="1"/>
  <c r="H122" i="6" s="1"/>
  <c r="I122" i="6" s="1"/>
  <c r="J122" i="6" s="1"/>
  <c r="K122" i="6" s="1"/>
  <c r="L122" i="6" s="1"/>
  <c r="M122" i="6" s="1"/>
  <c r="N122" i="6" s="1"/>
  <c r="O122" i="6" s="1"/>
  <c r="P122" i="6" s="1"/>
  <c r="Q122" i="6" s="1"/>
  <c r="D121" i="6"/>
  <c r="E121" i="6" s="1"/>
  <c r="F121" i="6" s="1"/>
  <c r="G121" i="6" s="1"/>
  <c r="H121" i="6" s="1"/>
  <c r="I121" i="6" s="1"/>
  <c r="J121" i="6" s="1"/>
  <c r="K121" i="6" s="1"/>
  <c r="L121" i="6" s="1"/>
  <c r="M121" i="6" s="1"/>
  <c r="N121" i="6" s="1"/>
  <c r="O121" i="6" s="1"/>
  <c r="P121" i="6" s="1"/>
  <c r="Q121" i="6" s="1"/>
  <c r="B121" i="6"/>
  <c r="B83" i="6"/>
  <c r="D76" i="6"/>
  <c r="E76" i="6" s="1"/>
  <c r="F76" i="6" s="1"/>
  <c r="G76" i="6" s="1"/>
  <c r="H76" i="6" s="1"/>
  <c r="I76" i="6" s="1"/>
  <c r="J76" i="6" s="1"/>
  <c r="K76" i="6" s="1"/>
  <c r="L76" i="6" s="1"/>
  <c r="M76" i="6" s="1"/>
  <c r="N76" i="6" s="1"/>
  <c r="O76" i="6" s="1"/>
  <c r="P76" i="6" s="1"/>
  <c r="Q76" i="6" s="1"/>
  <c r="D75" i="6"/>
  <c r="E75" i="6" s="1"/>
  <c r="F75" i="6" s="1"/>
  <c r="G75" i="6" s="1"/>
  <c r="H75" i="6" s="1"/>
  <c r="I75" i="6" s="1"/>
  <c r="J75" i="6" s="1"/>
  <c r="K75" i="6" s="1"/>
  <c r="L75" i="6" s="1"/>
  <c r="M75" i="6" s="1"/>
  <c r="N75" i="6" s="1"/>
  <c r="O75" i="6" s="1"/>
  <c r="P75" i="6" s="1"/>
  <c r="Q75" i="6" s="1"/>
  <c r="F74" i="6"/>
  <c r="G74" i="6" s="1"/>
  <c r="H74" i="6" s="1"/>
  <c r="I74" i="6" s="1"/>
  <c r="J74" i="6" s="1"/>
  <c r="K74" i="6" s="1"/>
  <c r="L74" i="6" s="1"/>
  <c r="M74" i="6" s="1"/>
  <c r="N74" i="6" s="1"/>
  <c r="O74" i="6" s="1"/>
  <c r="P74" i="6" s="1"/>
  <c r="Q74" i="6" s="1"/>
  <c r="E74" i="6"/>
  <c r="D74" i="6"/>
  <c r="D73" i="6"/>
  <c r="E73" i="6" s="1"/>
  <c r="F73" i="6" s="1"/>
  <c r="G73" i="6" s="1"/>
  <c r="H73" i="6" s="1"/>
  <c r="I73" i="6" s="1"/>
  <c r="J73" i="6" s="1"/>
  <c r="K73" i="6" s="1"/>
  <c r="L73" i="6" s="1"/>
  <c r="M73" i="6" s="1"/>
  <c r="N73" i="6" s="1"/>
  <c r="O73" i="6" s="1"/>
  <c r="P73" i="6" s="1"/>
  <c r="Q73" i="6" s="1"/>
  <c r="D72" i="6"/>
  <c r="E72" i="6" s="1"/>
  <c r="F72" i="6" s="1"/>
  <c r="G72" i="6" s="1"/>
  <c r="H72" i="6" s="1"/>
  <c r="I72" i="6" s="1"/>
  <c r="J72" i="6" s="1"/>
  <c r="K72" i="6" s="1"/>
  <c r="L72" i="6" s="1"/>
  <c r="M72" i="6" s="1"/>
  <c r="N72" i="6" s="1"/>
  <c r="O72" i="6" s="1"/>
  <c r="P72" i="6" s="1"/>
  <c r="Q72" i="6" s="1"/>
  <c r="D71" i="6"/>
  <c r="E71" i="6" s="1"/>
  <c r="F71" i="6" s="1"/>
  <c r="G71" i="6" s="1"/>
  <c r="H71" i="6" s="1"/>
  <c r="I71" i="6" s="1"/>
  <c r="J71" i="6" s="1"/>
  <c r="K71" i="6" s="1"/>
  <c r="L71" i="6" s="1"/>
  <c r="M71" i="6" s="1"/>
  <c r="N71" i="6" s="1"/>
  <c r="O71" i="6" s="1"/>
  <c r="P71" i="6" s="1"/>
  <c r="Q71" i="6" s="1"/>
  <c r="D70" i="6"/>
  <c r="E70" i="6" s="1"/>
  <c r="F70" i="6" s="1"/>
  <c r="G70" i="6" s="1"/>
  <c r="H70" i="6" s="1"/>
  <c r="I70" i="6" s="1"/>
  <c r="J70" i="6" s="1"/>
  <c r="K70" i="6" s="1"/>
  <c r="L70" i="6" s="1"/>
  <c r="M70" i="6" s="1"/>
  <c r="N70" i="6" s="1"/>
  <c r="O70" i="6" s="1"/>
  <c r="P70" i="6" s="1"/>
  <c r="Q70" i="6" s="1"/>
  <c r="D69" i="6"/>
  <c r="E69" i="6" s="1"/>
  <c r="F69" i="6" s="1"/>
  <c r="G69" i="6" s="1"/>
  <c r="H69" i="6" s="1"/>
  <c r="I69" i="6" s="1"/>
  <c r="J69" i="6" s="1"/>
  <c r="K69" i="6" s="1"/>
  <c r="L69" i="6" s="1"/>
  <c r="M69" i="6" s="1"/>
  <c r="N69" i="6" s="1"/>
  <c r="O69" i="6" s="1"/>
  <c r="P69" i="6" s="1"/>
  <c r="Q69" i="6" s="1"/>
  <c r="D68" i="6"/>
  <c r="E68" i="6" s="1"/>
  <c r="F68" i="6" s="1"/>
  <c r="G68" i="6" s="1"/>
  <c r="H68" i="6" s="1"/>
  <c r="I68" i="6" s="1"/>
  <c r="J68" i="6" s="1"/>
  <c r="K68" i="6" s="1"/>
  <c r="L68" i="6" s="1"/>
  <c r="M68" i="6" s="1"/>
  <c r="N68" i="6" s="1"/>
  <c r="O68" i="6" s="1"/>
  <c r="P68" i="6" s="1"/>
  <c r="Q68" i="6" s="1"/>
  <c r="B68" i="6"/>
  <c r="B37" i="6"/>
  <c r="B36" i="6"/>
  <c r="B35" i="6"/>
  <c r="B34" i="6"/>
  <c r="B33" i="6"/>
  <c r="B32" i="6"/>
  <c r="B31" i="6"/>
  <c r="B30" i="6"/>
  <c r="B29" i="6"/>
  <c r="D22" i="6"/>
  <c r="E22" i="6" s="1"/>
  <c r="F22" i="6" s="1"/>
  <c r="G22" i="6" s="1"/>
  <c r="H22" i="6" s="1"/>
  <c r="I22" i="6" s="1"/>
  <c r="J22" i="6" s="1"/>
  <c r="K22" i="6" s="1"/>
  <c r="L22" i="6" s="1"/>
  <c r="M22" i="6" s="1"/>
  <c r="N22" i="6" s="1"/>
  <c r="O22" i="6" s="1"/>
  <c r="P22" i="6" s="1"/>
  <c r="Q22" i="6" s="1"/>
  <c r="B22" i="6"/>
  <c r="E21" i="6"/>
  <c r="F21" i="6" s="1"/>
  <c r="G21" i="6" s="1"/>
  <c r="H21" i="6" s="1"/>
  <c r="I21" i="6" s="1"/>
  <c r="J21" i="6" s="1"/>
  <c r="K21" i="6" s="1"/>
  <c r="L21" i="6" s="1"/>
  <c r="M21" i="6" s="1"/>
  <c r="N21" i="6" s="1"/>
  <c r="O21" i="6" s="1"/>
  <c r="P21" i="6" s="1"/>
  <c r="Q21" i="6" s="1"/>
  <c r="D21" i="6"/>
  <c r="B21" i="6"/>
  <c r="D20" i="6"/>
  <c r="E20" i="6" s="1"/>
  <c r="F20" i="6" s="1"/>
  <c r="G20" i="6" s="1"/>
  <c r="H20" i="6" s="1"/>
  <c r="I20" i="6" s="1"/>
  <c r="J20" i="6" s="1"/>
  <c r="K20" i="6" s="1"/>
  <c r="L20" i="6" s="1"/>
  <c r="M20" i="6" s="1"/>
  <c r="N20" i="6" s="1"/>
  <c r="O20" i="6" s="1"/>
  <c r="P20" i="6" s="1"/>
  <c r="Q20" i="6" s="1"/>
  <c r="B20" i="6"/>
  <c r="E19" i="6"/>
  <c r="F19" i="6" s="1"/>
  <c r="G19" i="6" s="1"/>
  <c r="H19" i="6" s="1"/>
  <c r="I19" i="6" s="1"/>
  <c r="J19" i="6" s="1"/>
  <c r="K19" i="6" s="1"/>
  <c r="L19" i="6" s="1"/>
  <c r="M19" i="6" s="1"/>
  <c r="N19" i="6" s="1"/>
  <c r="O19" i="6" s="1"/>
  <c r="P19" i="6" s="1"/>
  <c r="Q19" i="6" s="1"/>
  <c r="D19" i="6"/>
  <c r="B19" i="6"/>
  <c r="D18" i="6"/>
  <c r="E18" i="6" s="1"/>
  <c r="F18" i="6" s="1"/>
  <c r="G18" i="6" s="1"/>
  <c r="H18" i="6" s="1"/>
  <c r="I18" i="6" s="1"/>
  <c r="J18" i="6" s="1"/>
  <c r="K18" i="6" s="1"/>
  <c r="L18" i="6" s="1"/>
  <c r="M18" i="6" s="1"/>
  <c r="N18" i="6" s="1"/>
  <c r="O18" i="6" s="1"/>
  <c r="P18" i="6" s="1"/>
  <c r="Q18" i="6" s="1"/>
  <c r="B18" i="6"/>
  <c r="E17" i="6"/>
  <c r="F17" i="6" s="1"/>
  <c r="G17" i="6" s="1"/>
  <c r="H17" i="6" s="1"/>
  <c r="I17" i="6" s="1"/>
  <c r="J17" i="6" s="1"/>
  <c r="K17" i="6" s="1"/>
  <c r="L17" i="6" s="1"/>
  <c r="M17" i="6" s="1"/>
  <c r="N17" i="6" s="1"/>
  <c r="O17" i="6" s="1"/>
  <c r="P17" i="6" s="1"/>
  <c r="Q17" i="6" s="1"/>
  <c r="D17" i="6"/>
  <c r="B17" i="6"/>
  <c r="D16" i="6"/>
  <c r="E16" i="6" s="1"/>
  <c r="F16" i="6" s="1"/>
  <c r="G16" i="6" s="1"/>
  <c r="H16" i="6" s="1"/>
  <c r="I16" i="6" s="1"/>
  <c r="J16" i="6" s="1"/>
  <c r="K16" i="6" s="1"/>
  <c r="L16" i="6" s="1"/>
  <c r="M16" i="6" s="1"/>
  <c r="N16" i="6" s="1"/>
  <c r="O16" i="6" s="1"/>
  <c r="P16" i="6" s="1"/>
  <c r="Q16" i="6" s="1"/>
  <c r="B16" i="6"/>
  <c r="D15" i="6"/>
  <c r="E15" i="6" s="1"/>
  <c r="F15" i="6" s="1"/>
  <c r="G15" i="6" s="1"/>
  <c r="H15" i="6" s="1"/>
  <c r="I15" i="6" s="1"/>
  <c r="J15" i="6" s="1"/>
  <c r="K15" i="6" s="1"/>
  <c r="L15" i="6" s="1"/>
  <c r="M15" i="6" s="1"/>
  <c r="N15" i="6" s="1"/>
  <c r="O15" i="6" s="1"/>
  <c r="P15" i="6" s="1"/>
  <c r="Q15" i="6" s="1"/>
  <c r="B15" i="6"/>
  <c r="D14" i="6"/>
  <c r="E14" i="6" s="1"/>
  <c r="F14" i="6" s="1"/>
  <c r="G14" i="6" s="1"/>
  <c r="H14" i="6" s="1"/>
  <c r="I14" i="6" s="1"/>
  <c r="J14" i="6" s="1"/>
  <c r="K14" i="6" s="1"/>
  <c r="L14" i="6" s="1"/>
  <c r="M14" i="6" s="1"/>
  <c r="N14" i="6" s="1"/>
  <c r="O14" i="6" s="1"/>
  <c r="P14" i="6" s="1"/>
  <c r="Q14" i="6" s="1"/>
  <c r="B14" i="6"/>
  <c r="D24" i="4"/>
  <c r="E23" i="4"/>
  <c r="D23" i="4"/>
  <c r="F22" i="4"/>
  <c r="E22" i="4"/>
  <c r="D22" i="4"/>
  <c r="G21" i="4"/>
  <c r="F21" i="4"/>
  <c r="E21" i="4"/>
  <c r="D21" i="4"/>
  <c r="H20" i="4"/>
  <c r="G20" i="4"/>
  <c r="F20" i="4"/>
  <c r="E20" i="4"/>
  <c r="D20" i="4"/>
  <c r="I19" i="4"/>
  <c r="H19" i="4"/>
  <c r="G19" i="4"/>
  <c r="F19" i="4"/>
  <c r="E19" i="4"/>
  <c r="D19" i="4"/>
  <c r="J18" i="4"/>
  <c r="I18" i="4"/>
  <c r="H18" i="4"/>
  <c r="G18" i="4"/>
  <c r="F18" i="4"/>
  <c r="E18" i="4"/>
  <c r="D18" i="4"/>
  <c r="K17" i="4"/>
  <c r="J17" i="4"/>
  <c r="I17" i="4"/>
  <c r="H17" i="4"/>
  <c r="G17" i="4"/>
  <c r="F17" i="4"/>
  <c r="E17" i="4"/>
  <c r="D17" i="4"/>
  <c r="K16" i="4"/>
  <c r="J16" i="4"/>
  <c r="I16" i="4"/>
  <c r="H16" i="4"/>
  <c r="G16" i="4"/>
  <c r="F16" i="4"/>
  <c r="E16" i="4"/>
  <c r="D16" i="4"/>
  <c r="M15" i="4"/>
  <c r="L15" i="4"/>
  <c r="K15" i="4"/>
  <c r="J15" i="4"/>
  <c r="I15" i="4"/>
  <c r="H15" i="4"/>
  <c r="G15" i="4"/>
  <c r="F15" i="4"/>
  <c r="E15" i="4"/>
  <c r="D15" i="4"/>
  <c r="D16" i="8" l="1"/>
  <c r="E15" i="8"/>
  <c r="D31" i="7"/>
  <c r="J32" i="7"/>
  <c r="D38" i="7"/>
  <c r="D30" i="7"/>
  <c r="K31" i="7"/>
  <c r="H33" i="7"/>
  <c r="D32" i="7"/>
  <c r="F36" i="7"/>
  <c r="C16" i="8"/>
  <c r="D34" i="7"/>
  <c r="G32" i="7"/>
  <c r="F34" i="7"/>
  <c r="E16" i="8" l="1"/>
  <c r="F15" i="8"/>
  <c r="F16" i="8" l="1"/>
  <c r="G15" i="8"/>
  <c r="G16" i="8" l="1"/>
  <c r="H15" i="8"/>
  <c r="H16" i="8" l="1"/>
  <c r="I15" i="8"/>
  <c r="J15" i="8" l="1"/>
  <c r="I16" i="8"/>
  <c r="K15" i="8" l="1"/>
  <c r="J16" i="8"/>
  <c r="L15" i="8" l="1"/>
  <c r="K16" i="8"/>
  <c r="M15" i="8" l="1"/>
  <c r="M16" i="8" s="1"/>
  <c r="L16" i="8"/>
</calcChain>
</file>

<file path=xl/sharedStrings.xml><?xml version="1.0" encoding="utf-8"?>
<sst xmlns="http://schemas.openxmlformats.org/spreadsheetml/2006/main" count="373" uniqueCount="289">
  <si>
    <t>Retention Analysis</t>
  </si>
  <si>
    <t>Instructions: After you've activated users, it's important to retain them so they can continue not only using product, but experience value proposition as frequently as possible. The tasks in this sheet will accomplish this by helping you understand different engagement techniques, measuring retention through cohort analysis, and calculating churn rate. 
You will suggest experiments to improve retention metrics to ensure activated customers stay activated by increasing engagement types and for churn experiments. 
Complete Tabs 1 - 8 in-order by using www.slack.com. The tasks will help you understand how to apply retention theories to build continuous retention loops by taking raw data. You will use data from experiments to improve retention metrics. You can then use the user engagement cohort metrics to measure LTV (Life-time Value).</t>
  </si>
  <si>
    <t>Mark a task completed on Column B after completing each Tab.</t>
  </si>
  <si>
    <t>Tab</t>
  </si>
  <si>
    <t>Completed?</t>
  </si>
  <si>
    <t>Tasks</t>
  </si>
  <si>
    <t>Engagement</t>
  </si>
  <si>
    <t>Engagement Type Analysis</t>
  </si>
  <si>
    <t>Engagement State Analysis</t>
  </si>
  <si>
    <t>Retention</t>
  </si>
  <si>
    <t>Retention Cohort Analysis</t>
  </si>
  <si>
    <t>Retention Curve</t>
  </si>
  <si>
    <t>Retention Segment</t>
  </si>
  <si>
    <t>Churn</t>
  </si>
  <si>
    <t>Life Cycle Chart</t>
  </si>
  <si>
    <t>Churn &amp; LTV Analysis</t>
  </si>
  <si>
    <t>Experiment</t>
  </si>
  <si>
    <t>Experiment Brief to dormant users</t>
  </si>
  <si>
    <t xml:space="preserve">Scenario: Slack has noticed that they can acquire customers easily, but are unable to determine how long their users retain, when they churn, and for what reason. You are asked to conduct an analysis to understand 
(1) how to keep the acquired users engaged
(2) how long users stay retained
(3) what the lifetime value of an average user is. </t>
  </si>
  <si>
    <t>Skill: This tab will help you apply theories learned about engagement types and apply them to Slack. Based on the initial activation funnel analysis, you will extrapolate and map Slack's engagement types:
Use-case
Frequency
Feature usage
Intensity
Use the activation funnel to determine what use-case a user has that gets them to your moments. 
After a user has reached activation, you then have to ensure the user stayed engaged. Conducting this analysis, you can then know how to keep your users engaged and engaged, and avoid churn as much as possible early on. After conducting this analysis, you will know different types of triggers that increase engagement.</t>
  </si>
  <si>
    <t>Instructions:</t>
  </si>
  <si>
    <t>1. In Rows 16 - 21 should match what you found from your previous Habit, Aha, and Setup analysis in Activation - Tab 7. If it does not match, you should look over your work in that section to ensure you completed it correctly.</t>
  </si>
  <si>
    <t>2. From the Activation Funnel in the previous step, determine what a primary use-case of Slack in Row 23 - 26. Then determine what other use-cases there can be of Slack in Row 28 - 32.</t>
  </si>
  <si>
    <t>3. Select a frequency for the primary use-case selected in Row 39 - 42 and explain why you decided on this frequency. Then determine the frequency of the other use-cases in Row 44 - 48.</t>
  </si>
  <si>
    <t>4. Select a product feature that would help guide your user to their use-case in Row 57 - 60.</t>
  </si>
  <si>
    <t>5. Select the intensity metric that can be measured that leads your user to their use-case in Row 67 - 70.</t>
  </si>
  <si>
    <t>6. Summarize the Engagement Types in Row 73 - 76.</t>
  </si>
  <si>
    <t>Rows colored in orange have been completed as examples for you. All formulas have been removed</t>
  </si>
  <si>
    <t>Use-Case</t>
  </si>
  <si>
    <t>Upload below items from the Activation Project:</t>
  </si>
  <si>
    <t>Habit Moment</t>
  </si>
  <si>
    <t xml:space="preserve"> Habit Moment 1: look for a communication tool outside of emal to engage with teammates                                        </t>
  </si>
  <si>
    <t>Habit Metric</t>
  </si>
  <si>
    <t>Habit Metric 1: # of Team Slack Messages Sent in 7-days</t>
  </si>
  <si>
    <t>Aha Moment</t>
  </si>
  <si>
    <t>Aha Moment 1: Engaging with a message in a group channel</t>
  </si>
  <si>
    <t>Aha Metric</t>
  </si>
  <si>
    <t>Aha Metric 1: Sending 1st message in a group channel within X days</t>
  </si>
  <si>
    <t>Setup Moment</t>
  </si>
  <si>
    <t>Setup Action 3: Invite a team mate and had a back-and-forth direct convo</t>
  </si>
  <si>
    <t>Setup Metric</t>
  </si>
  <si>
    <t>Setup Metric 3: # of users invited within 7-days</t>
  </si>
  <si>
    <t xml:space="preserve">Working backwards and using the Moments and Metrics calculated, what do you think is the primary use-case for the customer? To help you, think backwards. If you were a user of Slack, what use-case would help you accomplish the metrics above. </t>
  </si>
  <si>
    <t>Sending direct messages and group channel messages to coordinate daily work with internal teammates</t>
  </si>
  <si>
    <t>What other use-cases are there for Slack?</t>
  </si>
  <si>
    <t>To create like-minded user communities</t>
  </si>
  <si>
    <t>To share files and collaborate on documents within teams</t>
  </si>
  <si>
    <t>To integrate with third-party productivity apps and automate workflows</t>
  </si>
  <si>
    <t>To conduct voice or video calls with team members</t>
  </si>
  <si>
    <t>To search and archive organizational communications and institutional knowledge</t>
  </si>
  <si>
    <t>Frequency:</t>
  </si>
  <si>
    <t>For the use-case of sending messages to internal teammates, how often is this frequency needed? (daily, weekly, monthly, quarterly, or yearly) Explain your reasoning of this selection.</t>
  </si>
  <si>
    <t>Daily: Users send and receive messages every workday to coordinate ongoing tasks and projects with their team</t>
  </si>
  <si>
    <t>What are the frequencies of the different use-cases you selected above (ROW 29-32)?</t>
  </si>
  <si>
    <t>Weekly</t>
  </si>
  <si>
    <t>Multiple times per day for high-engagement users coordinating real-time across active projects</t>
  </si>
  <si>
    <t>Weekly for asynchronous teams or project-based communications with periodic check-ins</t>
  </si>
  <si>
    <t>Monthly for community channels, announcements, or lower-priority knowledge sharing</t>
  </si>
  <si>
    <t>Ad-hoc for integration alerts, automated bot notifications, and event-triggered messages</t>
  </si>
  <si>
    <t>Feature:</t>
  </si>
  <si>
    <t>Slack has many features such as: group message, direct message, call, engage slackbots.</t>
  </si>
  <si>
    <t>Which feature would be the focus to drive the customer to engage with to help them meet their use-case?</t>
  </si>
  <si>
    <t>Channels (group messaging): Channels enable users to organize conversations by team, topic, or project. This feature directly drives the primary use-case of structured team communication and maps to the Aha Moment of sending a first message in a group channel, making it the highest-leverage feature for guiding users to their core value.</t>
  </si>
  <si>
    <t>Intensity:</t>
  </si>
  <si>
    <t>If our goal is to get our customers to communicate with each other as much as possible, what should be the intensity metric we drive users to do often?</t>
  </si>
  <si>
    <t># of messages sent per user per week: This metric directly measures depth of engagement with the core use-case of team messaging and maps to the primary Habit Metric (# of Team Slack Messages Sent in 7-days), making it the most actionable signal for identifying active vs. at-risk users.</t>
  </si>
  <si>
    <t>Engagement Types:</t>
  </si>
  <si>
    <t>Sending daily messages to coordinate work with internal teammates via channels and direct messages</t>
  </si>
  <si>
    <t>Frequency</t>
  </si>
  <si>
    <t>Daily: messaging to coordinate work tasks every workday</t>
  </si>
  <si>
    <t>Feature</t>
  </si>
  <si>
    <t>Channels: organized group messaging by topic, project, or team</t>
  </si>
  <si>
    <t>Intensity</t>
  </si>
  <si>
    <t># of messages sent per user per week</t>
  </si>
  <si>
    <t>Scenario: Slack has noticed that they can acquire customers easily, but are unable to determine how long their users retain, when they churn, and for what reason. You are asked to conduct an analysis to understand how engaged users are.</t>
  </si>
  <si>
    <t xml:space="preserve">Skill: Based on the engagement types Power, Core, and Casual, place your existing users into separate buckets that represent their range of engagement. </t>
  </si>
  <si>
    <t>For example, a core user on Uber Eats might order 1 meal with 2 items est. $13 every week. A casual user might do 1 meal with 1 item est. $8 every month. A power user might do 1 meal with 2+ items est. $15 3-times a week. 
Understanding what state your users are in is beneficial so you know how to engage them. For example, you likely would not ask your casual for referrals, but certainly would ask power users to refer others onto Ubereats.</t>
  </si>
  <si>
    <t xml:space="preserve">1. Determine the Core state in column B from the engagement type analysis in Tab 1, row 73 - 76. </t>
  </si>
  <si>
    <t>2. Using the given core state, add your definition of a Power User in column A</t>
  </si>
  <si>
    <t>3. Using the given core state and the Power state you created,add your definition of a Casual User in column C</t>
  </si>
  <si>
    <t>Power</t>
  </si>
  <si>
    <t>Core</t>
  </si>
  <si>
    <t>Casual</t>
  </si>
  <si>
    <t>(more than core)</t>
  </si>
  <si>
    <t>(from the engagement type summary in Tab 1, row 73 - 76. )</t>
  </si>
  <si>
    <t>(less than core)</t>
  </si>
  <si>
    <t>Send more than 10 messages per day using both direct messages and channels, actively participating in multiple channels and maintaining real-time responsiveness with teammates</t>
  </si>
  <si>
    <t>Send a message a day using the direct message or channels</t>
  </si>
  <si>
    <t>Send fewer than 5 messages per week, primarily reading content in channels or responding occasionally to direct messages without initiating conversations</t>
  </si>
  <si>
    <t xml:space="preserve">Scenario: Slack has noticed that they can acquire customers easily, but are unable to determine how long their users retain. You are asked to conduct an analysis to understand how long our users stay active. </t>
  </si>
  <si>
    <t xml:space="preserve">The VP of Product has given you the data below, which represents the # of retained users for a period of 10-weeks. This data is only for the user of CORE engagement groups. </t>
  </si>
  <si>
    <t xml:space="preserve">You would normally also run a similar analysis for your casual and power users as well. </t>
  </si>
  <si>
    <t>Your job is to convert the # of active users retained over 10-weeks to another table to understand the % of active users retained over 10-weeks. This is for everyone using the core behavior: Send a message a day using the direct message or channels.</t>
  </si>
  <si>
    <t>Skill: Create a cohort analysis. From this, you will be able to analyze retention over time by looking at how a specific cohort of users (weekly cohors) remain active over time.</t>
  </si>
  <si>
    <t>For a healthy business, each cohort and conversions of each cohort should be increasing over time. As your goal is to keep users retained as long as possible, you can see how experiments you ran between June 1- August 17 impacted the # of active users over time.</t>
  </si>
  <si>
    <t>1. Determine the % of active users table from C33 - M44 using the table of # of active users from C16 - M27. Calculation: % of Active Users = # of Active Users that Week / # of Total Users in that Cohort</t>
  </si>
  <si>
    <t xml:space="preserve"> </t>
  </si>
  <si>
    <t>2. Determine the average of the % of Active Users per week (horizonal) in C25 - M45</t>
  </si>
  <si>
    <t>Rows in Orange have been completed for you as an example. All formulas have been removed.</t>
  </si>
  <si>
    <t># of Active Users</t>
  </si>
  <si>
    <t>Subscription Date</t>
  </si>
  <si>
    <t># of Total Users</t>
  </si>
  <si>
    <t># of Weeks after Subscription Date</t>
  </si>
  <si>
    <t>% of Active Users</t>
  </si>
  <si>
    <t>Average</t>
  </si>
  <si>
    <t>Scenario: Now that you've performed a cohort analysis, of % of active users, it is important to create a visual representation of the avg % of active users across the 10-week period in order to determine how retention is impacted over time. 
We know the % of users retained over time decreases, but our goal is to 
(1) figure out how much it decreases by each week and 
(2) try to increase the % of users retained by doing experiments to lift the curve higher (increase the % of retention per week) on the graph. 
The visualization will help us understand how low our retention percentage drops and at what weeks and percent they stabilize.</t>
  </si>
  <si>
    <t>Skill: Create a retention curve chart from the previous retention cohort analysis. In the next section, you'll analyze retention over time by looking at how cohorts change over time.</t>
  </si>
  <si>
    <t xml:space="preserve">Instructions: </t>
  </si>
  <si>
    <t>1. Create a line-chart of the avg. retention of weekly active cohorts over # of weeks from Tab 3, row 45</t>
  </si>
  <si>
    <t>2. Address Questions in Row 32 - 42 below regarding the analysis of the Retention Curve</t>
  </si>
  <si>
    <t>At what % does the retention curve flatten at?</t>
  </si>
  <si>
    <t>Approximately 48% to 50%: the average weekly retention curve flattens around this range after week 7, indicating that roughly half of initially active users remain consistently active long-term.</t>
  </si>
  <si>
    <t>At how many weeks does the retention curve flatten at?</t>
  </si>
  <si>
    <t>Around week 6 to 7: the retention curve shows the steepest declines in the first 4 weeks before stabilizing into a relatively flat plateau beginning at week 6-7.</t>
  </si>
  <si>
    <t xml:space="preserve">What does this retention curve tell us: </t>
  </si>
  <si>
    <t>The retention curve indicates that Slack retains a meaningful core of users (~50%) long-term once they pass the initial drop-off period. The sharp early decline (weeks 0-4) suggests many users fail to form a consistent messaging habit before churning. The plateau signals a loyal segment that has fully adopted Slack as their daily communication tool. The business risk is the significant portion of users who churn early before reaching habitual use.</t>
  </si>
  <si>
    <t>What would happen if we improve Week 0 retention?</t>
  </si>
  <si>
    <t>Improving Week 0 retention would shift the entire retention curve upward, increasing both the plateau level and the total number of users who reach long-term active status. For example, increasing Week 0 retention from ~99% to 100% across all cohorts would directly expand the pool entering week 1, compounding positively at every subsequent week. A 5% improvement in Week 0 could increase long-term retained users by a similar 5%, translating directly into higher WAU and LTV.</t>
  </si>
  <si>
    <t>User Retention by Segment</t>
  </si>
  <si>
    <t>Scenario: Slack has noticed that they can acquire customers easily, but are unable to determine how long their users retain, when they churn, and for what reason. You are asked to conduct cohort analysis by different segments to determine what segments are retaining well and which ones are not.</t>
  </si>
  <si>
    <t>Skill: Create a retention cohort and a retention curve chart for provided segments. Analyze retention by looking at how many users are retained over time for the different segments. Reminder we should  focus ours efforts on - the segments that are not doing well/average and try to get them to emulate your best performing segments.</t>
  </si>
  <si>
    <t>Instructions: take the provided raw data of # of retained users from the provided segments and build their % of retained user cohort analysis and map the retention curve by each segment.</t>
  </si>
  <si>
    <t>1. Create a % of retained users from the industry segment cohort analysis in Row 29 - 37. Then map the average retention curve over time (weeks) for each industry in Row 41 - 61. Then address 3 questions in Column L - Q.</t>
  </si>
  <si>
    <t>2. Create a % of retained user from the company size segment cohort analysis in Row 80 - 92. Then map the average retention curve over time (weeks) for each company size range in Row 95 - 115. Then address 3 questions in Column L - Q.</t>
  </si>
  <si>
    <t>3. Create a % of retained user from the account size segment cohort analysis in Row 132 - 143. Then map the average retention curve over time (weeks) for each account size range in Row 146 - 166. Then address 3 questions in Column L - Q.</t>
  </si>
  <si>
    <t>4. Create a % of retained user from the lead source segment cohort analysis in Row 182 - 191. Then map the average retention curve over time (weeks) for each lead source in Row 194 - 214. Then address 3 questions in Column L - Q.</t>
  </si>
  <si>
    <t>The rows in orange have been completed for you as an example. The formulas have been removed.</t>
  </si>
  <si>
    <t># of Retained Users - Industry Segment</t>
  </si>
  <si>
    <t>Number of Weeks</t>
  </si>
  <si>
    <t>Industry</t>
  </si>
  <si>
    <t>New Users Acquired</t>
  </si>
  <si>
    <t>Total</t>
  </si>
  <si>
    <t>Technology</t>
  </si>
  <si>
    <t xml:space="preserve">Retail </t>
  </si>
  <si>
    <t>Healthcare</t>
  </si>
  <si>
    <t>Financial Services</t>
  </si>
  <si>
    <t>Manufacturing</t>
  </si>
  <si>
    <t>Consume Goods</t>
  </si>
  <si>
    <t>Transportation</t>
  </si>
  <si>
    <t>Oil and Gas</t>
  </si>
  <si>
    <t>% of Retained Users - Industry Segment</t>
  </si>
  <si>
    <t>Which industry(s) has the best retention curve?</t>
  </si>
  <si>
    <t>Technology has the best retention curve, maintaining approximately 94% retention at week 0 and sustaining ~57% retention through week 14, consistently outperforming all other industries.</t>
  </si>
  <si>
    <t>Which industry(s) has the worst retention curve?</t>
  </si>
  <si>
    <t>Oil and Gas has the worst retention curve, starting at only 89% at week 0 and declining to approximately 52% by week 14, reflecting lower product-market fit or less frequent communication needs.</t>
  </si>
  <si>
    <t>How do you compare the Retention Analysis here with the Activation Analysis from Activation - Part 2 - Tab 6:</t>
  </si>
  <si>
    <t>Compared to the activation analysis, the retention segmentation confirms Technology as the highest-value segment throughout the funnel. Industries with high activation rates (Financial Services at 97% week-1 retention) also show stronger long-term retention, suggesting that users who activate quickly are more likely to retain. This reinforces prioritizing activation experiments for mid-tier industries like Manufacturing and Consumer Goods to lift their retention floors.</t>
  </si>
  <si>
    <t># of Retained Users - Company Size Segment</t>
  </si>
  <si>
    <t>Company Size</t>
  </si>
  <si>
    <t>New Users</t>
  </si>
  <si>
    <t>1-5</t>
  </si>
  <si>
    <t>6-10</t>
  </si>
  <si>
    <t>11-20</t>
  </si>
  <si>
    <t>21-50</t>
  </si>
  <si>
    <t>51-100</t>
  </si>
  <si>
    <t>101-250</t>
  </si>
  <si>
    <t>251-500</t>
  </si>
  <si>
    <t>501+</t>
  </si>
  <si>
    <t>% of Retained Users - Company Size Segment</t>
  </si>
  <si>
    <t>Which company size(s) has the best retention curve?</t>
  </si>
  <si>
    <t>Small teams (1-5 employees) have the best retention curve, maintaining ~93% at week 1 and sustaining the highest % retained through week 14. Small teams depend most heavily on Slack for daily coordination, creating stronger habitual use.</t>
  </si>
  <si>
    <t>Which company size(s) has the worst retention curve?</t>
  </si>
  <si>
    <t>Large enterprises (501+ employees) have the worst retention curve despite high initial counts. Their lower retention likely reflects slower organizational adoption, competing internal tools, and longer time-to-value in large, distributed teams.</t>
  </si>
  <si>
    <t>Company size retention data aligns with activation findings: smaller companies that activated at higher rates also retain better long-term. This suggests SMB customers (1-50 employees) are Slack's highest-LTV segment and should receive targeted onboarding improvements to increase both activation and retention.</t>
  </si>
  <si>
    <t># of Retained Users - Account Size Segment</t>
  </si>
  <si>
    <t>Account Size</t>
  </si>
  <si>
    <t>1 - 2</t>
  </si>
  <si>
    <t>2 - 5</t>
  </si>
  <si>
    <t>5 - 10</t>
  </si>
  <si>
    <t>10 - 20</t>
  </si>
  <si>
    <t>20 - 50</t>
  </si>
  <si>
    <t>50 - 100</t>
  </si>
  <si>
    <t>100+</t>
  </si>
  <si>
    <t>% of Retained Users - Account Size Segment</t>
  </si>
  <si>
    <t>Which account size(s) has the best retention curve?</t>
  </si>
  <si>
    <t>Accounts with 2-5 seats have the best retention curve, reflecting teams large enough to benefit from group messaging but small enough for rapid adoption across all members.</t>
  </si>
  <si>
    <t>Which account size(s) has the worst retention curve?</t>
  </si>
  <si>
    <t>Accounts with 50-100 seats show the worst retention, likely due to coordination overhead in onboarding many users and lower per-user engagement when not all team members are active.</t>
  </si>
  <si>
    <t>The account size retention pattern mirrors activation analysis results: smaller accounts activate and retain faster. Experiments targeting mid-size accounts (10-50 seats) to improve their initial group channel adoption could close the retention gap with smaller accounts.</t>
  </si>
  <si>
    <t># of Retained Users - Lead Source Segment</t>
  </si>
  <si>
    <t>N</t>
  </si>
  <si>
    <t>Source</t>
  </si>
  <si>
    <t>Pricing Page</t>
  </si>
  <si>
    <t>Free Trial Page</t>
  </si>
  <si>
    <t>Referral link</t>
  </si>
  <si>
    <t>Team Invitation</t>
  </si>
  <si>
    <t>Blog Page</t>
  </si>
  <si>
    <t>% of Retained Users - Lead Source Segment</t>
  </si>
  <si>
    <t>Which lead source(s) has the best retention curve?</t>
  </si>
  <si>
    <t>Referral link has the best retention curve, with users acquired through peer recommendations showing ~93% week-1 retention and the highest sustained retention through week 14. Referred users arrive with pre-existing context and social accountability.</t>
  </si>
  <si>
    <t>Which lead source(s) has the worst retention curve?</t>
  </si>
  <si>
    <t>Blog Page has the worst retention curve, reflecting users who discovered Slack through content marketing but may lack immediate team-level buy-in, resulting in lower habitual engagement and higher early churn.</t>
  </si>
  <si>
    <t>Lead source retention strongly correlates with activation data: referral and team invitation users who activated at higher rates also retained significantly better. This confirms that acquisition channel quality matters beyond just volume. Marketing should prioritize referral program investment and team invitation flows, while re-evaluating blog-sourced acquisition strategies or improving onboarding for this cohort.</t>
  </si>
  <si>
    <t xml:space="preserve">Scenario: Slack has noticed that users are going through their growth funnel from activation to retention, but want to understand better the whole lifecycle of their users. You are asked to conduct cohort analysis to determine the active and inactive user over time.
In the previous tabs, we focused on calculating how many users retained over time. Now, we need to determine how many users have been dormant and resurrected over time. These dormant users would be the users that are on their way to churning and in the next 2 tabs, you will create experiments to avoid these churns. 
To avoid churn, you want to convert your dormant users into resurrected users. </t>
  </si>
  <si>
    <t>Skill: Create a lifecycle analysis of your users over time by looking at active user and inactive user cohorts over time. Calculate the weekly active users, dormant users, and resurrected users.</t>
  </si>
  <si>
    <t>1. Calculate the # of retained and resurrected users in Column C Row 44-52 using the # of active users cohort analysis in rows 14 - 25.</t>
  </si>
  <si>
    <t>2. Calculate the # of dormant users in Column D Row 44-52 using the # of inactive users cohort analysis in row 30 - 40.</t>
  </si>
  <si>
    <t>3. Calculate the # of weekly active users using the # of new users, # of retained and resurrected users, and # of dormant users</t>
  </si>
  <si>
    <t>4. Calculate the # of resurrected users using the # of retained and resurrected and # of retained users columns.</t>
  </si>
  <si>
    <t>5. After completing the table, create a stacked column chart  in Row # 56 - 74 of new users, Dormant users, Retained Users, and Resurrected Users.</t>
  </si>
  <si>
    <t># of New Users</t>
  </si>
  <si>
    <t># of Inactive users</t>
  </si>
  <si>
    <t>Weeks after Subscription Date</t>
  </si>
  <si>
    <t>Retained + Resurrected Users</t>
  </si>
  <si>
    <t>Dormant Uses</t>
  </si>
  <si>
    <t>Weekly Active Users</t>
  </si>
  <si>
    <t>Retained Users</t>
  </si>
  <si>
    <t>Resurrected Users</t>
  </si>
  <si>
    <t>Retained Users, # of New Users, Resurrected Users, Dormant Users</t>
  </si>
  <si>
    <t xml:space="preserve">Scenario: Slack has noticed that users are churning over time, but have not determine what their churn and lifetime-value (LTV) of users over the last year is. You are asked to conduct cohort analysis to calculate the churn rate, retention rate, and LTV. </t>
  </si>
  <si>
    <t xml:space="preserve">This analysis will help us determine the health of the business. It will help us determine: 
(1) What is our churn rate over time and is it getting better (getting lower). 
(2) What is our retention rate over time and is it getting better (getting higher). 
(3) What is our LTV over time and is it getting better (getting higher). </t>
  </si>
  <si>
    <t xml:space="preserve">Thinking of the these 3 questions will help you determine the 3 questions in rows 22-30. The answers in this sheet will help you benchmark on how you are doing against other B2B SaaS companies and ideate ways to improve the LTV and predict churn by suggesting experiments in the next tab. </t>
  </si>
  <si>
    <t>From this analysis, you would be able to present to the relevant stakeholders why a focus on reducing churn is important and should be considered as a business objective.</t>
  </si>
  <si>
    <t>Skill: Measure LTV (Life-time Value), Churn rate, and Retention rate and analyze the impact of each on the business. Calculate how many users churn and what their LTV is. 
You can then compare if retention and churn over time. This helps you determine the impact of your experiments and if they have been helping the business achieve its objectives or not. 
Tip: If you see metrics being too high or too low beyond industry standard, you know to focus your experiments on those metrics.</t>
  </si>
  <si>
    <t>1. Calculate the churn rate of the monthly cohorts in row 19</t>
  </si>
  <si>
    <t>2. Calculate the retention rate of the monthly cohorts in row 20</t>
  </si>
  <si>
    <t>3. Calculate the lifetime-value (LTV) of the monthly cohorts in row 21</t>
  </si>
  <si>
    <t>4. After completing the table, answer the questions in rows 26 - 33.</t>
  </si>
  <si>
    <t>Month</t>
  </si>
  <si>
    <t>Jan</t>
  </si>
  <si>
    <t>Feb</t>
  </si>
  <si>
    <t>Mar</t>
  </si>
  <si>
    <t>Apr</t>
  </si>
  <si>
    <t>May</t>
  </si>
  <si>
    <t>Jun</t>
  </si>
  <si>
    <t>Jul</t>
  </si>
  <si>
    <t>Aug</t>
  </si>
  <si>
    <t>Sep</t>
  </si>
  <si>
    <t>Oct</t>
  </si>
  <si>
    <t>Nov</t>
  </si>
  <si>
    <t>Dec</t>
  </si>
  <si>
    <t># of users churned</t>
  </si>
  <si>
    <t># of users at start of month</t>
  </si>
  <si>
    <t># of users at end of month</t>
  </si>
  <si>
    <t>Average Revenue Per Account (ARPA)</t>
  </si>
  <si>
    <t>Gross Margin</t>
  </si>
  <si>
    <t>Churn Rate</t>
  </si>
  <si>
    <t>Retention Rate</t>
  </si>
  <si>
    <t>LTV</t>
  </si>
  <si>
    <t>What can be done to improve LTV of Slack?</t>
  </si>
  <si>
    <t>To improve Slack's LTV, the primary lever is reducing churn rate: each percentage point reduction in monthly churn directly increases the denominator in LTV = ARPA x Gross Margin / Churn Rate. Strategies include (1) improving activation for new users to ensure they reach the Habit Moment before the end of month 1, (2) proactive re-engagement campaigns for users who go dormant in weeks 2-4 before full churn, (3) deepening integration usage to increase switching costs, and (4) expanding account size through team-level onboarding that increases the number of active users per account, indirectly raising ARPA.</t>
  </si>
  <si>
    <t>How can we predict churn before it happens?</t>
  </si>
  <si>
    <t>Churn can be predicted before it occurs by monitoring leading behavioral indicators: (1) a drop in weekly messages sent per user below the habit threshold (less than the core engagement level of 1 message per day), (2) reduced login frequency or extended periods of inactivity (2+ weeks without a message), (3) declining channel participation despite account being active, and (4) failure to complete key setup moments such as inviting teammates within 7 days. A predictive churn model using these signals can flag at-risk users 2-4 weeks before churn, enabling targeted retention interventions.</t>
  </si>
  <si>
    <t>Is the avg. monthly churn rate acceptable for a B2B SaaS company? If no, explain.</t>
  </si>
  <si>
    <t>No, the average monthly churn rate is not acceptable for a B2B SaaS company. B2B SaaS benchmarks target 1-2% monthly churn (12-24% annually). Starting at 6.37% in January and growing through the year (driven by compounding churned user formulas), Slack's modeled churn rate significantly exceeds healthy benchmarks. This level of churn erodes LTV and requires proportionally higher acquisition spending to maintain growth. The priority should be reducing churn to under 3% monthly through improved activation, engagement depth, and proactive retention programs targeting the critical weeks 1-4 drop-off window identified in the retention cohort analysis.</t>
  </si>
  <si>
    <t>Experiment Brief</t>
  </si>
  <si>
    <t xml:space="preserve">Scenario: Slack has noticed that users are churning over time. Apply your activation and retention knowledge to suggest experiments to reduce churn. </t>
  </si>
  <si>
    <t xml:space="preserve">It is ideal to always have an active experimentation for different segment of users and different metrics (activation and retention) for those users. You proposed experiments for activation before for users who just started to use our prodcut. Now you will propose experiments to active users to ensure they remain active OR users that have become inactive to attempt to resurrect them to become active agian. </t>
  </si>
  <si>
    <t>You've just completed the churn and retention analysis in Tab 7, from which your VP has provided you resources to tackle churn. 
Using the analysis in tab 5, retention segmentation analysis, suggest experiments to help increase retention and reduce churn of specific segments. 
Remember in Tab 5, you calculated the users who are retaining the most, but focus on the segments that are NOT retaining well and create experiments for these segments.</t>
  </si>
  <si>
    <t xml:space="preserve">Skill: Create experiments and include analysis on the impacts, rational, and hypothesis of the experiment. </t>
  </si>
  <si>
    <t>1. Determine 3 experiments you would want to run to reduce churn OR understand churn better in B12 - B14</t>
  </si>
  <si>
    <t>2. In column C, elaborate on what is being tested</t>
  </si>
  <si>
    <t>3. In column D, provide a qualitative and quantitative hypothesis of what will happen</t>
  </si>
  <si>
    <t>4. In column E, describe the rationale of why you chose this experiment from any social proof, previous experience, or from any research.</t>
  </si>
  <si>
    <t>5 In column F, provide a list of stakeholders who would need to be involved to release this experiment and why</t>
  </si>
  <si>
    <t>6. In column G, document what more information is needed for you to execute on this experiment and document what assumptions you are making</t>
  </si>
  <si>
    <t>7. In column H, provide a list of metrics that need to be measured in this experiment that would verify if the experiment failed or passed</t>
  </si>
  <si>
    <t>10. In column I - L, apply the ICE framework to your experiments</t>
  </si>
  <si>
    <t>Describe what in the experiment is being tested?</t>
  </si>
  <si>
    <t>Hypothesis (What do you think will happen qualitatively and quantitatively?)</t>
  </si>
  <si>
    <t>Rationale (Why do you want to try this experiment?)</t>
  </si>
  <si>
    <t>Stakeholders (What other titles in the company needs to be involved?)</t>
  </si>
  <si>
    <t>What more info do you need to decide this is an experiment you want to run? What assumptions are we making?</t>
  </si>
  <si>
    <t>What metrics should be measured?</t>
  </si>
  <si>
    <t>ICE - Impact? (be quantitative)</t>
  </si>
  <si>
    <t>ICE- Confidence</t>
  </si>
  <si>
    <t>ICE- Ease</t>
  </si>
  <si>
    <t>ICE - Growth Score</t>
  </si>
  <si>
    <t>[ACTION] Add an in-app guided checklist that prompts new users to send their first message in a group channel within 24 hours. [OUTCOME] We expect to increase Week 0 group channel message rate by 20%, reducing early churn by 8%. [THEORY] Users who complete the Aha Moment (sending a group channel message) within day 1 show 83% overlap with long-term active users, so accelerating this moment will expand the retained user base.</t>
  </si>
  <si>
    <t>Testing whether a contextual in-app onboarding checklist that surfaces 'Send a message in a channel' as the first suggested action increases first-week activation rates compared to the current unguided experience.</t>
  </si>
  <si>
    <t>Qualitatively, new users who receive a guided prompt to their Aha Moment will find the product's core value faster and develop stronger initial habits. Quantitatively, we expect first group channel message rate within 24 hours to increase from ~60% to ~72% (20% relative lift), reducing week-1 churn from ~25% to ~17% among prompted users.</t>
  </si>
  <si>
    <t>Retention cohort data shows week 0-1 is the highest-churn period across all segments. The activation analysis identified 'sending a first group channel message' as the primary Aha Moment with 83% overlap with retained users. Reducing friction at this critical juncture has the highest expected impact on long-term retention.</t>
  </si>
  <si>
    <t>Product Manager (owner), UX Designer (checklist UI), Engineering (front-end implementation), Data Analyst (experiment instrumentation), Customer Success (user feedback collection)</t>
  </si>
  <si>
    <t>Need baseline measurement of current % users who send a group channel message within 24 hours; need to confirm checklist does not conflict with existing onboarding modals; need legal review of in-product messaging content. Assumption: users who complete checklist are representative of the general new user population.</t>
  </si>
  <si>
    <t>% users sending first group channel message within 24 hours; Week 1 retention rate; Week 4 retention rate; average messages per user in week 1; % users completing full checklist</t>
  </si>
  <si>
    <t>[ACTION] Send weekly personalized digest emails to users who sent fewer than 5 messages in the prior week, highlighting unanswered messages, active channel discussions, and team activity. [OUTCOME] We expect to increase re-engagement rate among at-risk users by 15%, improving week 4-8 retention by 10%. [THEORY] Users who fall below the core engagement threshold (1 message/day) are in pre-churn state; a personalized pull trigger can re-establish the messaging habit before full dormancy.</t>
  </si>
  <si>
    <t>Testing whether a personalized weekly activity digest email sent to users with below-threshold engagement (fewer than 5 messages/week) increases return-to-app rate and subsequent weekly message volume compared to users who receive no re-engagement communication.</t>
  </si>
  <si>
    <t>Qualitatively, users who lapse in messaging habit respond to social proof of team activity and missed conversations. Quantitatively, we expect re-engagement email open rate of 35%+ and a 15% lift in 7-day active return rate among recipients, translating to a 10% improvement in week 4-8 retention cohort rates.</t>
  </si>
  <si>
    <t>Lifecycle analysis shows a meaningful dormant user population accumulating each week. The churn analysis identifies month 2-3 as when churn rates compound most rapidly. An email re-engagement trigger targeted at early-stage dormant users (below habit threshold but not yet churned) can reclaim users before they fully disengage.</t>
  </si>
  <si>
    <t>Product Manager (owner), Growth Marketing (email design and delivery), Data Analyst (segmentation and targeting), Engineering (email trigger pipeline), CRM team (email platform configuration)</t>
  </si>
  <si>
    <t>Need email deliverability data for existing user base; need to confirm GDPR/CAN-SPAM compliance for re-engagement emails; need baseline open and click-through rates for any existing Slack emails. Assumption: users who are below threshold but not churned still have valid email addresses and open product emails.</t>
  </si>
  <si>
    <t>Email open rate; click-through rate; 7-day return-to-app rate after email; messages sent in week following email; week 4-8 retention cohort rate comparison; unsubscribe rate</t>
  </si>
  <si>
    <t>[ACTION] Launch a targeted win-back campaign offering churned users a 30-day free team upgrade (Pro plan features) if they return and invite at least 2 teammates within the first week. [OUTCOME] We expect to resurrect 12% of churned users within 60 days and retain 50% of resurrected users at 90 days. [THEORY] Churned users who originally left before forming a team-level habit are more likely to re-engage when given both a financial incentive and a social re-activation trigger (team invite).</t>
  </si>
  <si>
    <t>Testing whether a win-back offer combining a free plan upgrade with a social-incentive mechanic (inviting teammates) outperforms a discount-only offer in terms of reactivation rate, 90-day retention of reactivated users, and net revenue impact.</t>
  </si>
  <si>
    <t>Qualitatively, churned users who did not form team-level habits before churning can be re-activated by simultaneously reducing financial friction and triggering the Setup Moment (inviting a teammate). Quantitatively, we expect a 12% reactivation rate vs. 4% industry benchmark for win-back campaigns, and 50% 90-day retention among reactivated users who complete the teammate invite.</t>
  </si>
  <si>
    <t>The LTV analysis shows Slack's churn rate is significantly above B2B SaaS benchmarks. Resurrected users in the lifecycle analysis represent a high-value re-acquisition opportunity at lower CAC than new user acquisition. The activation analysis showed inviting a teammate within 7 days is the primary Setup Moment, meaning reactivating users with this mechanic increases the probability they will reach habitual engagement.</t>
  </si>
  <si>
    <t>Growth PM (owner), Finance (pricing approval for free upgrade), Marketing (email and push campaign), Engineering (upgrade trigger and tracking), Legal (promotional terms and conditions), Customer Success (follow-up for resurrected enterprise accounts)</t>
  </si>
  <si>
    <t>Need list of churned users segmented by tenure before churn and industry; need cost analysis of 30-day Pro upgrade per resurrected user vs. expected LTV; need CRM capability to execute segmented win-back sequences. Assumption: churned users still have accessible contact information and have not migrated to a competing platform.</t>
  </si>
  <si>
    <t>Reactivation rate (% churned users who return within 30 days); teammate invite completion rate; 30-day and 90-day retention of reactivated users; average messages per week post-reactivation vs. pre-churn baseline; net revenue impact (LTV of resurrected users minus campaign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</si>
</sst>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m\ d"/>
    <numFmt numFmtId="165" formatCode="[$-409]mmm\-yy"/>
    <numFmt numFmtId="166" formatCode="&quot;$&quot;#,##0.00"/>
  </numFmts>
  <fonts count="24">
    <font>
      <sz val="10"/>
      <color rgb="FF000000"/>
      <name val="Arial"/>
      <scheme val="minor"/>
    </font>
    <font>
      <sz val="31"/>
      <color rgb="FF000000"/>
      <name val="Arial"/>
    </font>
    <font>
      <sz val="10"/>
      <color theme="1"/>
      <name val="Arial"/>
    </font>
    <font>
      <b/>
      <sz val="10"/>
      <color rgb="FF000000"/>
      <name val="Arial"/>
    </font>
    <font>
      <b/>
      <sz val="10"/>
      <color theme="1"/>
      <name val="Arial"/>
    </font>
    <font>
      <b/>
      <sz val="30"/>
      <color rgb="FF222222"/>
      <name val="&quot;Google Sans&quot;"/>
    </font>
    <font>
      <sz val="10"/>
      <color rgb="FF000000"/>
      <name val="Arial"/>
    </font>
    <font>
      <sz val="11"/>
      <color rgb="FF222222"/>
      <name val="&quot;Google Sans&quot;"/>
    </font>
    <font>
      <b/>
      <sz val="20"/>
      <color theme="1"/>
      <name val="Arial"/>
      <scheme val="minor"/>
    </font>
    <font>
      <i/>
      <sz val="10"/>
      <color theme="1"/>
      <name val="Arial"/>
      <scheme val="minor"/>
    </font>
    <font>
      <sz val="10"/>
      <color theme="1"/>
      <name val="Arial"/>
      <scheme val="minor"/>
    </font>
    <font>
      <b/>
      <sz val="10"/>
      <color theme="1"/>
      <name val="Arial"/>
      <scheme val="minor"/>
    </font>
    <font>
      <b/>
      <sz val="30"/>
      <color theme="1"/>
      <name val="Arial"/>
      <scheme val="minor"/>
    </font>
    <font>
      <b/>
      <sz val="10"/>
      <color rgb="FF000000"/>
      <name val="Arial"/>
      <scheme val="minor"/>
    </font>
    <font>
      <sz val="30"/>
      <color theme="1"/>
      <name val="Arial"/>
      <scheme val="minor"/>
    </font>
    <font>
      <b/>
      <sz val="11"/>
      <color rgb="FF222222"/>
      <name val="Arial"/>
    </font>
    <font>
      <sz val="12"/>
      <color rgb="FF000000"/>
      <name val="Calibri"/>
    </font>
    <font>
      <sz val="30"/>
      <color rgb="FF222222"/>
      <name val="Arial"/>
    </font>
    <font>
      <sz val="11"/>
      <color rgb="FF222222"/>
      <name val="Arial"/>
    </font>
    <font>
      <b/>
      <sz val="10"/>
      <color rgb="FF000000"/>
      <name val="Open Sans"/>
    </font>
    <font>
      <sz val="10"/>
      <color rgb="FF000000"/>
      <name val="Open Sans"/>
    </font>
    <font>
      <sz val="30"/>
      <color rgb="FF000000"/>
      <name val="Arial"/>
    </font>
    <font>
      <b/>
      <sz val="20"/>
      <color theme="1"/>
      <name val="Arial"/>
    </font>
    <font>
      <sz val="10"/>
      <color rgb="FF34A853"/>
      <name val="Arial"/>
      <scheme val="minor"/>
    </font>
  </fonts>
  <fills count="8">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B6D7A8"/>
        <bgColor rgb="FFB6D7A8"/>
      </patternFill>
    </fill>
    <fill>
      <patternFill patternType="solid">
        <fgColor rgb="FFE69138"/>
        <bgColor rgb="FFE69138"/>
      </patternFill>
    </fill>
    <fill>
      <patternFill patternType="solid">
        <fgColor rgb="FFF6B26B"/>
        <bgColor rgb="FFF6B26B"/>
      </patternFill>
    </fill>
    <fill>
      <patternFill patternType="solid">
        <fgColor rgb="FFD8D8D8"/>
        <bgColor rgb="FFD8D8D8"/>
      </patternFill>
    </fill>
  </fills>
  <borders count="15">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s>
  <cellStyleXfs count="1">
    <xf numFmtId="0" fontId="0" fillId="0" borderId="0"/>
  </cellStyleXfs>
  <cellXfs count="219">
    <xf numFmtId="0" fontId="0" fillId="0" borderId="0" xfId="0"/>
    <xf numFmtId="0" fontId="4" fillId="2" borderId="3" xfId="0" applyFont="1" applyFill="1" applyBorder="1" applyAlignment="1">
      <alignment horizontal="center"/>
    </xf>
    <xf numFmtId="0" fontId="4" fillId="2" borderId="3" xfId="0" applyFont="1" applyFill="1" applyBorder="1"/>
    <xf numFmtId="0" fontId="2" fillId="2" borderId="3" xfId="0" applyFont="1" applyFill="1" applyBorder="1" applyAlignment="1">
      <alignment horizontal="center"/>
    </xf>
    <xf numFmtId="0" fontId="2" fillId="2" borderId="3" xfId="0" applyFont="1" applyFill="1" applyBorder="1"/>
    <xf numFmtId="0" fontId="2" fillId="0" borderId="3" xfId="0" applyFont="1" applyBorder="1" applyAlignment="1">
      <alignment horizontal="center"/>
    </xf>
    <xf numFmtId="0" fontId="2" fillId="4" borderId="3" xfId="0" applyFont="1" applyFill="1" applyBorder="1"/>
    <xf numFmtId="0" fontId="2" fillId="0" borderId="4" xfId="0" applyFont="1" applyBorder="1" applyAlignment="1">
      <alignment horizontal="center"/>
    </xf>
    <xf numFmtId="0" fontId="2" fillId="4" borderId="5" xfId="0" applyFont="1" applyFill="1" applyBorder="1"/>
    <xf numFmtId="0" fontId="2" fillId="0" borderId="6" xfId="0" applyFont="1" applyBorder="1"/>
    <xf numFmtId="0" fontId="2" fillId="2" borderId="4" xfId="0" applyFont="1" applyFill="1" applyBorder="1"/>
    <xf numFmtId="0" fontId="6" fillId="0" borderId="0" xfId="0" applyFont="1" applyAlignment="1">
      <alignment horizontal="left"/>
    </xf>
    <xf numFmtId="0" fontId="6" fillId="3" borderId="0" xfId="0" applyFont="1" applyFill="1" applyAlignment="1">
      <alignment horizontal="left"/>
    </xf>
    <xf numFmtId="0" fontId="7" fillId="3" borderId="0" xfId="0" applyFont="1" applyFill="1"/>
    <xf numFmtId="0" fontId="10" fillId="2" borderId="3" xfId="0" applyFont="1" applyFill="1" applyBorder="1"/>
    <xf numFmtId="0" fontId="2" fillId="4" borderId="3" xfId="0" applyFont="1" applyFill="1" applyBorder="1" applyAlignment="1">
      <alignment wrapText="1"/>
    </xf>
    <xf numFmtId="0" fontId="2" fillId="4" borderId="4" xfId="0" applyFont="1" applyFill="1" applyBorder="1" applyAlignment="1">
      <alignment horizontal="center" wrapText="1"/>
    </xf>
    <xf numFmtId="0" fontId="10" fillId="4" borderId="3" xfId="0" applyFont="1" applyFill="1" applyBorder="1"/>
    <xf numFmtId="0" fontId="8" fillId="2" borderId="3" xfId="0" applyFont="1" applyFill="1" applyBorder="1"/>
    <xf numFmtId="0" fontId="10" fillId="2" borderId="3" xfId="0" applyFont="1" applyFill="1" applyBorder="1" applyAlignment="1">
      <alignment wrapText="1"/>
    </xf>
    <xf numFmtId="0" fontId="4" fillId="0" borderId="0" xfId="0" applyFont="1" applyAlignment="1">
      <alignment vertical="top" wrapText="1"/>
    </xf>
    <xf numFmtId="0" fontId="11" fillId="0" borderId="0" xfId="0" applyFont="1" applyAlignment="1">
      <alignment wrapText="1"/>
    </xf>
    <xf numFmtId="0" fontId="10" fillId="0" borderId="0" xfId="0" applyFont="1"/>
    <xf numFmtId="0" fontId="11" fillId="2" borderId="12" xfId="0" applyFont="1" applyFill="1" applyBorder="1" applyAlignment="1">
      <alignment horizontal="center"/>
    </xf>
    <xf numFmtId="0" fontId="15" fillId="2" borderId="12" xfId="0" applyFont="1" applyFill="1" applyBorder="1" applyAlignment="1">
      <alignment horizontal="center"/>
    </xf>
    <xf numFmtId="0" fontId="11" fillId="2" borderId="4" xfId="0" applyFont="1" applyFill="1" applyBorder="1"/>
    <xf numFmtId="0" fontId="15" fillId="2" borderId="4" xfId="0" applyFont="1" applyFill="1" applyBorder="1"/>
    <xf numFmtId="0" fontId="10" fillId="2" borderId="6" xfId="0" applyFont="1" applyFill="1" applyBorder="1"/>
    <xf numFmtId="0" fontId="10" fillId="2" borderId="5" xfId="0" applyFont="1" applyFill="1" applyBorder="1"/>
    <xf numFmtId="164" fontId="10" fillId="2" borderId="13" xfId="0" applyNumberFormat="1" applyFont="1" applyFill="1" applyBorder="1"/>
    <xf numFmtId="0" fontId="10" fillId="2" borderId="13" xfId="0" applyFont="1" applyFill="1" applyBorder="1"/>
    <xf numFmtId="0" fontId="10" fillId="2" borderId="0" xfId="0" applyFont="1" applyFill="1"/>
    <xf numFmtId="1" fontId="10" fillId="2" borderId="0" xfId="0" applyNumberFormat="1" applyFont="1" applyFill="1"/>
    <xf numFmtId="1" fontId="10" fillId="2" borderId="10" xfId="0" applyNumberFormat="1" applyFont="1" applyFill="1" applyBorder="1"/>
    <xf numFmtId="1" fontId="10" fillId="0" borderId="10" xfId="0" applyNumberFormat="1" applyFont="1" applyBorder="1"/>
    <xf numFmtId="1" fontId="10" fillId="0" borderId="0" xfId="0" applyNumberFormat="1" applyFont="1"/>
    <xf numFmtId="0" fontId="10" fillId="0" borderId="10" xfId="0" applyFont="1" applyBorder="1"/>
    <xf numFmtId="164" fontId="10" fillId="2" borderId="4" xfId="0" applyNumberFormat="1" applyFont="1" applyFill="1" applyBorder="1"/>
    <xf numFmtId="0" fontId="10" fillId="2" borderId="4" xfId="0" applyFont="1" applyFill="1" applyBorder="1"/>
    <xf numFmtId="0" fontId="10" fillId="0" borderId="6" xfId="0" applyFont="1" applyBorder="1"/>
    <xf numFmtId="0" fontId="10" fillId="0" borderId="5" xfId="0" applyFont="1" applyBorder="1"/>
    <xf numFmtId="164" fontId="10" fillId="0" borderId="0" xfId="0" applyNumberFormat="1" applyFont="1"/>
    <xf numFmtId="0" fontId="11" fillId="2" borderId="7" xfId="0" applyFont="1" applyFill="1" applyBorder="1" applyAlignment="1">
      <alignment horizontal="center"/>
    </xf>
    <xf numFmtId="0" fontId="11" fillId="2" borderId="11" xfId="0" applyFont="1" applyFill="1" applyBorder="1"/>
    <xf numFmtId="0" fontId="10" fillId="2" borderId="11" xfId="0" applyFont="1" applyFill="1" applyBorder="1"/>
    <xf numFmtId="164" fontId="10" fillId="2" borderId="9" xfId="0" applyNumberFormat="1" applyFont="1" applyFill="1" applyBorder="1"/>
    <xf numFmtId="0" fontId="10" fillId="2" borderId="9" xfId="0" applyFont="1" applyFill="1" applyBorder="1"/>
    <xf numFmtId="9" fontId="16" fillId="5" borderId="7" xfId="0" applyNumberFormat="1" applyFont="1" applyFill="1" applyBorder="1" applyAlignment="1">
      <alignment horizontal="right"/>
    </xf>
    <xf numFmtId="9" fontId="16" fillId="4" borderId="14" xfId="0" applyNumberFormat="1" applyFont="1" applyFill="1" applyBorder="1" applyAlignment="1">
      <alignment horizontal="right"/>
    </xf>
    <xf numFmtId="9" fontId="16" fillId="4" borderId="8" xfId="0" applyNumberFormat="1" applyFont="1" applyFill="1" applyBorder="1" applyAlignment="1">
      <alignment horizontal="right"/>
    </xf>
    <xf numFmtId="9" fontId="16" fillId="4" borderId="9" xfId="0" applyNumberFormat="1" applyFont="1" applyFill="1" applyBorder="1" applyAlignment="1">
      <alignment horizontal="right"/>
    </xf>
    <xf numFmtId="9" fontId="16" fillId="4" borderId="0" xfId="0" applyNumberFormat="1" applyFont="1" applyFill="1" applyAlignment="1">
      <alignment horizontal="right"/>
    </xf>
    <xf numFmtId="164" fontId="10" fillId="2" borderId="11" xfId="0" applyNumberFormat="1" applyFont="1" applyFill="1" applyBorder="1"/>
    <xf numFmtId="0" fontId="10" fillId="0" borderId="9" xfId="0" applyFont="1" applyBorder="1"/>
    <xf numFmtId="0" fontId="10" fillId="4" borderId="11" xfId="0" applyFont="1" applyFill="1" applyBorder="1"/>
    <xf numFmtId="0" fontId="10" fillId="0" borderId="0" xfId="0" applyFont="1" applyAlignment="1">
      <alignment wrapText="1"/>
    </xf>
    <xf numFmtId="0" fontId="18" fillId="3" borderId="0" xfId="0" applyFont="1" applyFill="1"/>
    <xf numFmtId="0" fontId="19" fillId="2" borderId="3"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0" fillId="2" borderId="12" xfId="0" applyFont="1" applyFill="1" applyBorder="1" applyAlignment="1">
      <alignment horizontal="center"/>
    </xf>
    <xf numFmtId="0" fontId="19" fillId="7" borderId="4" xfId="0" applyFont="1" applyFill="1" applyBorder="1" applyAlignment="1">
      <alignment horizontal="center"/>
    </xf>
    <xf numFmtId="3" fontId="19" fillId="7" borderId="6" xfId="0" applyNumberFormat="1" applyFont="1" applyFill="1" applyBorder="1" applyAlignment="1">
      <alignment horizontal="center"/>
    </xf>
    <xf numFmtId="1" fontId="10" fillId="0" borderId="7" xfId="0" applyNumberFormat="1" applyFont="1" applyBorder="1"/>
    <xf numFmtId="1" fontId="10" fillId="0" borderId="14" xfId="0" applyNumberFormat="1" applyFont="1" applyBorder="1"/>
    <xf numFmtId="1" fontId="10" fillId="0" borderId="8" xfId="0" applyNumberFormat="1" applyFont="1" applyBorder="1"/>
    <xf numFmtId="0" fontId="20" fillId="7" borderId="4" xfId="0" applyFont="1" applyFill="1" applyBorder="1" applyAlignment="1">
      <alignment horizontal="right"/>
    </xf>
    <xf numFmtId="3" fontId="20" fillId="7" borderId="6" xfId="0" applyNumberFormat="1" applyFont="1" applyFill="1" applyBorder="1" applyAlignment="1">
      <alignment horizontal="center"/>
    </xf>
    <xf numFmtId="1" fontId="10" fillId="0" borderId="9" xfId="0" applyNumberFormat="1" applyFont="1" applyBorder="1"/>
    <xf numFmtId="1" fontId="10" fillId="0" borderId="11" xfId="0" applyNumberFormat="1" applyFont="1" applyBorder="1"/>
    <xf numFmtId="1" fontId="10" fillId="0" borderId="6" xfId="0" applyNumberFormat="1" applyFont="1" applyBorder="1"/>
    <xf numFmtId="1" fontId="10" fillId="0" borderId="5" xfId="0" applyNumberFormat="1" applyFont="1" applyBorder="1"/>
    <xf numFmtId="9" fontId="11" fillId="5" borderId="7" xfId="0" applyNumberFormat="1" applyFont="1" applyFill="1" applyBorder="1"/>
    <xf numFmtId="9" fontId="10" fillId="4" borderId="14" xfId="0" applyNumberFormat="1" applyFont="1" applyFill="1" applyBorder="1"/>
    <xf numFmtId="9" fontId="10" fillId="4" borderId="8" xfId="0" applyNumberFormat="1" applyFont="1" applyFill="1" applyBorder="1"/>
    <xf numFmtId="9" fontId="10" fillId="4" borderId="9" xfId="0" applyNumberFormat="1" applyFont="1" applyFill="1" applyBorder="1"/>
    <xf numFmtId="9" fontId="10" fillId="4" borderId="0" xfId="0" applyNumberFormat="1" applyFont="1" applyFill="1"/>
    <xf numFmtId="9" fontId="10" fillId="4" borderId="10" xfId="0" applyNumberFormat="1" applyFont="1" applyFill="1" applyBorder="1"/>
    <xf numFmtId="0" fontId="11" fillId="0" borderId="0" xfId="0" applyFont="1"/>
    <xf numFmtId="0" fontId="19" fillId="2" borderId="3" xfId="0" applyFont="1" applyFill="1" applyBorder="1" applyAlignment="1">
      <alignment horizontal="center" wrapText="1"/>
    </xf>
    <xf numFmtId="0" fontId="19" fillId="2" borderId="2" xfId="0" applyFont="1" applyFill="1" applyBorder="1" applyAlignment="1">
      <alignment horizontal="center" wrapText="1"/>
    </xf>
    <xf numFmtId="0" fontId="20" fillId="7" borderId="4" xfId="0" applyFont="1" applyFill="1" applyBorder="1" applyAlignment="1">
      <alignment horizontal="center"/>
    </xf>
    <xf numFmtId="9" fontId="10" fillId="4" borderId="7" xfId="0" applyNumberFormat="1" applyFont="1" applyFill="1" applyBorder="1"/>
    <xf numFmtId="9" fontId="10" fillId="4" borderId="3" xfId="0" applyNumberFormat="1" applyFont="1" applyFill="1" applyBorder="1"/>
    <xf numFmtId="1" fontId="2" fillId="0" borderId="0" xfId="0" applyNumberFormat="1" applyFont="1" applyAlignment="1">
      <alignment horizontal="right"/>
    </xf>
    <xf numFmtId="1" fontId="2" fillId="0" borderId="10" xfId="0" applyNumberFormat="1" applyFont="1" applyBorder="1" applyAlignment="1">
      <alignment horizontal="right"/>
    </xf>
    <xf numFmtId="0" fontId="2" fillId="0" borderId="0" xfId="0" applyFont="1"/>
    <xf numFmtId="0" fontId="4" fillId="2" borderId="3" xfId="0" applyFont="1" applyFill="1" applyBorder="1" applyAlignment="1">
      <alignment horizontal="center" wrapText="1"/>
    </xf>
    <xf numFmtId="0" fontId="15" fillId="2" borderId="2" xfId="0" applyFont="1" applyFill="1" applyBorder="1" applyAlignment="1">
      <alignment horizontal="center" wrapText="1"/>
    </xf>
    <xf numFmtId="0" fontId="2" fillId="2" borderId="5" xfId="0" applyFont="1" applyFill="1" applyBorder="1"/>
    <xf numFmtId="0" fontId="2" fillId="2" borderId="3" xfId="0" applyFont="1" applyFill="1" applyBorder="1" applyAlignment="1">
      <alignment horizontal="right"/>
    </xf>
    <xf numFmtId="164" fontId="2" fillId="2" borderId="13" xfId="0" applyNumberFormat="1" applyFont="1" applyFill="1" applyBorder="1" applyAlignment="1">
      <alignment horizontal="right"/>
    </xf>
    <xf numFmtId="0" fontId="2" fillId="2" borderId="10" xfId="0" applyFont="1" applyFill="1" applyBorder="1" applyAlignment="1">
      <alignment horizontal="right"/>
    </xf>
    <xf numFmtId="0" fontId="2" fillId="2" borderId="5" xfId="0" applyFont="1" applyFill="1" applyBorder="1" applyAlignment="1">
      <alignment horizontal="right"/>
    </xf>
    <xf numFmtId="1" fontId="2" fillId="2" borderId="5" xfId="0" applyNumberFormat="1" applyFont="1" applyFill="1" applyBorder="1" applyAlignment="1">
      <alignment horizontal="right"/>
    </xf>
    <xf numFmtId="1" fontId="2" fillId="0" borderId="5" xfId="0" applyNumberFormat="1" applyFont="1" applyBorder="1"/>
    <xf numFmtId="0" fontId="2" fillId="0" borderId="5" xfId="0" applyFont="1" applyBorder="1"/>
    <xf numFmtId="164" fontId="2" fillId="2" borderId="4" xfId="0" applyNumberFormat="1" applyFont="1" applyFill="1" applyBorder="1"/>
    <xf numFmtId="0" fontId="2" fillId="0" borderId="11" xfId="0" applyFont="1" applyBorder="1"/>
    <xf numFmtId="0" fontId="2" fillId="2" borderId="4" xfId="0" applyFont="1" applyFill="1" applyBorder="1" applyAlignment="1">
      <alignment wrapText="1"/>
    </xf>
    <xf numFmtId="0" fontId="2" fillId="2" borderId="5" xfId="0" applyFont="1" applyFill="1" applyBorder="1" applyAlignment="1">
      <alignment wrapText="1"/>
    </xf>
    <xf numFmtId="0" fontId="2" fillId="2" borderId="6" xfId="0" applyFont="1" applyFill="1" applyBorder="1" applyAlignment="1">
      <alignment horizontal="right"/>
    </xf>
    <xf numFmtId="164" fontId="2" fillId="2" borderId="12" xfId="0" applyNumberFormat="1" applyFont="1" applyFill="1" applyBorder="1" applyAlignment="1">
      <alignment horizontal="right"/>
    </xf>
    <xf numFmtId="0" fontId="2" fillId="2" borderId="8" xfId="0" applyFont="1" applyFill="1" applyBorder="1" applyAlignment="1">
      <alignment horizontal="right"/>
    </xf>
    <xf numFmtId="0" fontId="2" fillId="2" borderId="2" xfId="0" applyFont="1" applyFill="1" applyBorder="1" applyAlignment="1">
      <alignment horizontal="right"/>
    </xf>
    <xf numFmtId="1" fontId="2" fillId="2" borderId="2" xfId="0" applyNumberFormat="1" applyFont="1" applyFill="1" applyBorder="1" applyAlignment="1">
      <alignment horizontal="right"/>
    </xf>
    <xf numFmtId="164" fontId="2" fillId="2" borderId="4" xfId="0" applyNumberFormat="1" applyFont="1" applyFill="1" applyBorder="1" applyAlignment="1">
      <alignment horizontal="right"/>
    </xf>
    <xf numFmtId="0" fontId="4" fillId="2" borderId="3" xfId="0" applyFont="1" applyFill="1" applyBorder="1" applyAlignment="1">
      <alignment horizontal="center" vertical="center" wrapText="1"/>
    </xf>
    <xf numFmtId="0" fontId="15" fillId="2" borderId="2" xfId="0" applyFont="1" applyFill="1" applyBorder="1" applyAlignment="1">
      <alignment horizontal="center" vertical="center" wrapText="1"/>
    </xf>
    <xf numFmtId="164" fontId="2" fillId="2" borderId="3" xfId="0" applyNumberFormat="1" applyFont="1" applyFill="1" applyBorder="1" applyAlignment="1">
      <alignment horizontal="right"/>
    </xf>
    <xf numFmtId="0" fontId="4" fillId="5" borderId="3" xfId="0" applyFont="1" applyFill="1" applyBorder="1" applyAlignment="1">
      <alignment horizontal="right"/>
    </xf>
    <xf numFmtId="1" fontId="2" fillId="2" borderId="3" xfId="0" applyNumberFormat="1" applyFont="1" applyFill="1" applyBorder="1" applyAlignment="1">
      <alignment horizontal="right"/>
    </xf>
    <xf numFmtId="1" fontId="4" fillId="5" borderId="3" xfId="0" applyNumberFormat="1" applyFont="1" applyFill="1" applyBorder="1" applyAlignment="1">
      <alignment horizontal="right"/>
    </xf>
    <xf numFmtId="1" fontId="4" fillId="5" borderId="10" xfId="0" applyNumberFormat="1" applyFont="1" applyFill="1" applyBorder="1" applyAlignment="1">
      <alignment horizontal="right"/>
    </xf>
    <xf numFmtId="1" fontId="2" fillId="4" borderId="3" xfId="0" applyNumberFormat="1" applyFont="1" applyFill="1" applyBorder="1" applyAlignment="1">
      <alignment horizontal="right"/>
    </xf>
    <xf numFmtId="0" fontId="2" fillId="0" borderId="10" xfId="0" applyFont="1" applyBorder="1"/>
    <xf numFmtId="0" fontId="4" fillId="2" borderId="4" xfId="0" applyFont="1" applyFill="1" applyBorder="1" applyAlignment="1">
      <alignment horizontal="center"/>
    </xf>
    <xf numFmtId="1" fontId="2" fillId="2" borderId="4" xfId="0" applyNumberFormat="1" applyFont="1" applyFill="1" applyBorder="1" applyAlignment="1">
      <alignment horizontal="center"/>
    </xf>
    <xf numFmtId="0" fontId="2" fillId="2" borderId="4" xfId="0" applyFont="1" applyFill="1" applyBorder="1" applyAlignment="1">
      <alignment horizontal="center" wrapText="1"/>
    </xf>
    <xf numFmtId="166" fontId="2" fillId="2" borderId="5" xfId="0" applyNumberFormat="1" applyFont="1" applyFill="1" applyBorder="1" applyAlignment="1">
      <alignment horizontal="right"/>
    </xf>
    <xf numFmtId="0" fontId="2" fillId="2" borderId="4" xfId="0" applyFont="1" applyFill="1" applyBorder="1" applyAlignment="1">
      <alignment horizontal="center"/>
    </xf>
    <xf numFmtId="9" fontId="2" fillId="2" borderId="5" xfId="0" applyNumberFormat="1" applyFont="1" applyFill="1" applyBorder="1" applyAlignment="1">
      <alignment horizontal="right"/>
    </xf>
    <xf numFmtId="10" fontId="4" fillId="5" borderId="5" xfId="0" applyNumberFormat="1" applyFont="1" applyFill="1" applyBorder="1" applyAlignment="1">
      <alignment horizontal="right"/>
    </xf>
    <xf numFmtId="10" fontId="2" fillId="4" borderId="5" xfId="0" applyNumberFormat="1" applyFont="1" applyFill="1" applyBorder="1" applyAlignment="1">
      <alignment horizontal="right"/>
    </xf>
    <xf numFmtId="166" fontId="4" fillId="5" borderId="5" xfId="0" applyNumberFormat="1" applyFont="1" applyFill="1" applyBorder="1" applyAlignment="1">
      <alignment horizontal="right"/>
    </xf>
    <xf numFmtId="166" fontId="2" fillId="4" borderId="5" xfId="0" applyNumberFormat="1" applyFont="1" applyFill="1" applyBorder="1" applyAlignment="1">
      <alignment horizontal="right"/>
    </xf>
    <xf numFmtId="0" fontId="2" fillId="0" borderId="0" xfId="0" applyFont="1" applyAlignment="1">
      <alignment wrapText="1"/>
    </xf>
    <xf numFmtId="0" fontId="21" fillId="2" borderId="0" xfId="0" applyFont="1" applyFill="1" applyAlignment="1">
      <alignment horizontal="center"/>
    </xf>
    <xf numFmtId="0" fontId="4" fillId="0" borderId="4" xfId="0" applyFont="1" applyBorder="1" applyAlignment="1">
      <alignment horizontal="center" vertical="center"/>
    </xf>
    <xf numFmtId="0" fontId="4" fillId="0" borderId="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2" fillId="4" borderId="4" xfId="0" applyFont="1" applyFill="1" applyBorder="1" applyAlignment="1">
      <alignment horizontal="right" wrapText="1"/>
    </xf>
    <xf numFmtId="0" fontId="2" fillId="4" borderId="5" xfId="0" applyFont="1" applyFill="1" applyBorder="1" applyAlignment="1">
      <alignment wrapText="1"/>
    </xf>
    <xf numFmtId="0" fontId="2" fillId="4" borderId="4" xfId="0" applyFont="1" applyFill="1" applyBorder="1"/>
    <xf numFmtId="2" fontId="2" fillId="4" borderId="5" xfId="0" applyNumberFormat="1" applyFont="1" applyFill="1" applyBorder="1"/>
    <xf numFmtId="0" fontId="2" fillId="4" borderId="5" xfId="0" applyFont="1" applyFill="1" applyBorder="1" applyAlignment="1">
      <alignment horizontal="right" wrapText="1"/>
    </xf>
    <xf numFmtId="2" fontId="2" fillId="0" borderId="0" xfId="0" applyNumberFormat="1" applyFont="1"/>
    <xf numFmtId="0" fontId="4" fillId="2" borderId="5" xfId="0" applyFont="1" applyFill="1" applyBorder="1" applyAlignment="1">
      <alignment horizontal="center"/>
    </xf>
    <xf numFmtId="0" fontId="0" fillId="0" borderId="6" xfId="0" applyBorder="1"/>
    <xf numFmtId="0" fontId="0" fillId="0" borderId="5" xfId="0" applyBorder="1"/>
    <xf numFmtId="0" fontId="2" fillId="0" borderId="3" xfId="0" applyFont="1" applyBorder="1"/>
    <xf numFmtId="0" fontId="0" fillId="0" borderId="1" xfId="0" applyBorder="1"/>
    <xf numFmtId="0" fontId="0" fillId="0" borderId="2" xfId="0" applyBorder="1"/>
    <xf numFmtId="0" fontId="2" fillId="0" borderId="5" xfId="0" applyFont="1" applyBorder="1"/>
    <xf numFmtId="0" fontId="4" fillId="2" borderId="3" xfId="0" applyFont="1" applyFill="1" applyBorder="1" applyAlignment="1">
      <alignment horizontal="center"/>
    </xf>
    <xf numFmtId="0" fontId="2" fillId="0" borderId="3" xfId="0" applyFont="1" applyBorder="1" applyAlignment="1">
      <alignment wrapText="1"/>
    </xf>
    <xf numFmtId="0" fontId="4" fillId="2" borderId="2" xfId="0" applyFont="1" applyFill="1" applyBorder="1" applyAlignment="1">
      <alignment horizontal="center"/>
    </xf>
    <xf numFmtId="0" fontId="3" fillId="3" borderId="0" xfId="0" applyFont="1" applyFill="1"/>
    <xf numFmtId="0" fontId="0" fillId="0" borderId="0" xfId="0"/>
    <xf numFmtId="0" fontId="1" fillId="2" borderId="0" xfId="0" applyFont="1" applyFill="1" applyAlignment="1">
      <alignment horizontal="center"/>
    </xf>
    <xf numFmtId="0" fontId="6" fillId="0" borderId="3" xfId="0" applyFont="1" applyBorder="1" applyAlignment="1">
      <alignment horizontal="left" wrapText="1"/>
    </xf>
    <xf numFmtId="0" fontId="10" fillId="4" borderId="3" xfId="0" applyFont="1" applyFill="1" applyBorder="1"/>
    <xf numFmtId="0" fontId="6" fillId="0" borderId="3" xfId="0" applyFont="1" applyBorder="1"/>
    <xf numFmtId="0" fontId="9" fillId="2" borderId="3" xfId="0" applyFont="1" applyFill="1" applyBorder="1"/>
    <xf numFmtId="0" fontId="3" fillId="3" borderId="3" xfId="0" applyFont="1" applyFill="1" applyBorder="1"/>
    <xf numFmtId="0" fontId="10" fillId="2" borderId="3" xfId="0" applyFont="1" applyFill="1" applyBorder="1" applyAlignment="1">
      <alignment horizontal="center" vertical="center" wrapText="1"/>
    </xf>
    <xf numFmtId="0" fontId="0" fillId="0" borderId="8" xfId="0" applyBorder="1"/>
    <xf numFmtId="0" fontId="0" fillId="0" borderId="9" xfId="0" applyBorder="1"/>
    <xf numFmtId="0" fontId="0" fillId="0" borderId="10" xfId="0" applyBorder="1"/>
    <xf numFmtId="0" fontId="0" fillId="0" borderId="11" xfId="0" applyBorder="1"/>
    <xf numFmtId="0" fontId="10" fillId="2" borderId="3" xfId="0" applyFont="1" applyFill="1" applyBorder="1" applyAlignment="1">
      <alignment wrapText="1"/>
    </xf>
    <xf numFmtId="0" fontId="0" fillId="0" borderId="13" xfId="0" applyBorder="1"/>
    <xf numFmtId="0" fontId="0" fillId="0" borderId="4" xfId="0" applyBorder="1"/>
    <xf numFmtId="0" fontId="11" fillId="6" borderId="3" xfId="0" applyFont="1" applyFill="1" applyBorder="1"/>
    <xf numFmtId="0" fontId="10" fillId="4" borderId="3" xfId="0" applyFont="1" applyFill="1" applyBorder="1" applyAlignment="1">
      <alignment wrapText="1"/>
    </xf>
    <xf numFmtId="0" fontId="3" fillId="5" borderId="3" xfId="0" applyFont="1" applyFill="1" applyBorder="1" applyAlignment="1">
      <alignment horizontal="left"/>
    </xf>
    <xf numFmtId="0" fontId="8" fillId="2" borderId="3" xfId="0" applyFont="1" applyFill="1" applyBorder="1"/>
    <xf numFmtId="0" fontId="5" fillId="2" borderId="3" xfId="0" applyFont="1" applyFill="1" applyBorder="1" applyAlignment="1">
      <alignment horizontal="center"/>
    </xf>
    <xf numFmtId="0" fontId="8" fillId="2" borderId="3" xfId="0" applyFont="1" applyFill="1" applyBorder="1" applyAlignment="1">
      <alignment horizontal="left"/>
    </xf>
    <xf numFmtId="0" fontId="4" fillId="0" borderId="3" xfId="0" applyFont="1" applyBorder="1" applyAlignment="1">
      <alignment vertical="top" wrapText="1"/>
    </xf>
    <xf numFmtId="0" fontId="6" fillId="3" borderId="3" xfId="0" applyFont="1" applyFill="1" applyBorder="1" applyAlignment="1">
      <alignment horizontal="left" wrapText="1"/>
    </xf>
    <xf numFmtId="0" fontId="12" fillId="2" borderId="3" xfId="0" applyFont="1" applyFill="1" applyBorder="1" applyAlignment="1">
      <alignment horizontal="center"/>
    </xf>
    <xf numFmtId="0" fontId="11" fillId="0" borderId="3" xfId="0" applyFont="1" applyBorder="1" applyAlignment="1">
      <alignment wrapText="1"/>
    </xf>
    <xf numFmtId="0" fontId="10" fillId="5" borderId="3"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3" fillId="5" borderId="0" xfId="0" applyFont="1" applyFill="1"/>
    <xf numFmtId="0" fontId="11" fillId="5" borderId="3" xfId="0" applyFont="1" applyFill="1" applyBorder="1"/>
    <xf numFmtId="0" fontId="14" fillId="2" borderId="3" xfId="0" applyFont="1" applyFill="1" applyBorder="1" applyAlignment="1">
      <alignment horizontal="center"/>
    </xf>
    <xf numFmtId="0" fontId="6" fillId="3" borderId="10" xfId="0" applyFont="1" applyFill="1" applyBorder="1" applyAlignment="1">
      <alignment horizontal="left" wrapText="1"/>
    </xf>
    <xf numFmtId="0" fontId="11" fillId="2" borderId="12" xfId="0" applyFont="1" applyFill="1" applyBorder="1" applyAlignment="1">
      <alignment horizontal="center" wrapText="1"/>
    </xf>
    <xf numFmtId="0" fontId="0" fillId="0" borderId="14" xfId="0" applyBorder="1"/>
    <xf numFmtId="0" fontId="8" fillId="2" borderId="12" xfId="0" applyFont="1" applyFill="1" applyBorder="1" applyAlignment="1">
      <alignment horizontal="center"/>
    </xf>
    <xf numFmtId="0" fontId="10" fillId="2" borderId="3" xfId="0" applyFont="1" applyFill="1" applyBorder="1" applyAlignment="1">
      <alignment horizontal="center"/>
    </xf>
    <xf numFmtId="0" fontId="11" fillId="2" borderId="8" xfId="0" applyFont="1" applyFill="1" applyBorder="1" applyAlignment="1">
      <alignment horizontal="center" wrapText="1"/>
    </xf>
    <xf numFmtId="0" fontId="10" fillId="0" borderId="3" xfId="0" applyFont="1" applyBorder="1"/>
    <xf numFmtId="0" fontId="10" fillId="0" borderId="3" xfId="0" applyFont="1" applyBorder="1" applyAlignment="1">
      <alignment wrapText="1"/>
    </xf>
    <xf numFmtId="0" fontId="17" fillId="2" borderId="3" xfId="0" applyFont="1" applyFill="1" applyBorder="1" applyAlignment="1">
      <alignment horizontal="center"/>
    </xf>
    <xf numFmtId="0" fontId="19" fillId="7" borderId="4" xfId="0" applyFont="1" applyFill="1" applyBorder="1" applyAlignment="1">
      <alignment horizontal="center"/>
    </xf>
    <xf numFmtId="0" fontId="11" fillId="2" borderId="0" xfId="0" applyFont="1" applyFill="1" applyAlignment="1">
      <alignment wrapText="1"/>
    </xf>
    <xf numFmtId="165" fontId="19" fillId="7" borderId="4" xfId="0" applyNumberFormat="1" applyFont="1" applyFill="1" applyBorder="1" applyAlignment="1">
      <alignment horizontal="center"/>
    </xf>
    <xf numFmtId="0" fontId="11" fillId="2" borderId="3" xfId="0" applyFont="1" applyFill="1" applyBorder="1" applyAlignment="1">
      <alignment wrapText="1"/>
    </xf>
    <xf numFmtId="0" fontId="19" fillId="2" borderId="3" xfId="0" applyFont="1" applyFill="1" applyBorder="1" applyAlignment="1">
      <alignment horizontal="center" wrapText="1"/>
    </xf>
    <xf numFmtId="0" fontId="10" fillId="0" borderId="13" xfId="0" applyFont="1" applyBorder="1" applyAlignment="1">
      <alignment wrapText="1"/>
    </xf>
    <xf numFmtId="0" fontId="11" fillId="2" borderId="3" xfId="0" applyFont="1" applyFill="1" applyBorder="1" applyAlignment="1">
      <alignment horizontal="center"/>
    </xf>
    <xf numFmtId="0" fontId="10" fillId="0" borderId="4" xfId="0" applyFont="1" applyBorder="1" applyAlignment="1">
      <alignment wrapText="1"/>
    </xf>
    <xf numFmtId="0" fontId="11" fillId="0" borderId="12" xfId="0" applyFont="1" applyBorder="1" applyAlignment="1">
      <alignment wrapText="1"/>
    </xf>
    <xf numFmtId="0" fontId="10" fillId="4" borderId="0" xfId="0" applyFont="1" applyFill="1"/>
    <xf numFmtId="0" fontId="10" fillId="4" borderId="0" xfId="0" applyFont="1" applyFill="1" applyAlignment="1">
      <alignment wrapText="1"/>
    </xf>
    <xf numFmtId="0" fontId="15" fillId="5" borderId="3" xfId="0" applyFont="1" applyFill="1" applyBorder="1"/>
    <xf numFmtId="0" fontId="4" fillId="0" borderId="12" xfId="0" applyFont="1" applyBorder="1" applyAlignment="1">
      <alignment vertical="top" wrapText="1"/>
    </xf>
    <xf numFmtId="0" fontId="6" fillId="0" borderId="3" xfId="0" applyFont="1" applyBorder="1" applyAlignment="1">
      <alignment horizontal="left" vertical="top" wrapText="1"/>
    </xf>
    <xf numFmtId="0" fontId="2" fillId="0" borderId="4" xfId="0" applyFont="1" applyBorder="1" applyAlignment="1">
      <alignment wrapText="1"/>
    </xf>
    <xf numFmtId="0" fontId="4" fillId="0" borderId="12" xfId="0" applyFont="1" applyBorder="1" applyAlignment="1">
      <alignment wrapText="1"/>
    </xf>
    <xf numFmtId="0" fontId="4" fillId="2" borderId="3" xfId="0" applyFont="1" applyFill="1" applyBorder="1" applyAlignment="1">
      <alignment horizontal="center" wrapText="1"/>
    </xf>
    <xf numFmtId="0" fontId="21" fillId="2" borderId="3" xfId="0" applyFont="1" applyFill="1" applyBorder="1" applyAlignment="1">
      <alignment horizontal="center"/>
    </xf>
    <xf numFmtId="0" fontId="4" fillId="0" borderId="13" xfId="0" applyFont="1" applyBorder="1" applyAlignment="1">
      <alignment wrapText="1"/>
    </xf>
    <xf numFmtId="0" fontId="22" fillId="2" borderId="4" xfId="0" applyFont="1" applyFill="1" applyBorder="1" applyAlignment="1">
      <alignment horizontal="center"/>
    </xf>
    <xf numFmtId="0" fontId="4" fillId="0" borderId="3" xfId="0" applyFont="1" applyBorder="1" applyAlignment="1">
      <alignment wrapText="1"/>
    </xf>
    <xf numFmtId="0" fontId="4" fillId="5" borderId="3" xfId="0" applyFont="1" applyFill="1" applyBorder="1"/>
    <xf numFmtId="0" fontId="23" fillId="0" borderId="3" xfId="0" applyFont="1" applyBorder="1" applyAlignment="1">
      <alignment vertical="top"/>
    </xf>
    <xf numFmtId="0" fontId="2" fillId="0" borderId="13" xfId="0" applyFont="1" applyBorder="1" applyAlignment="1">
      <alignment horizontal="left" vertical="top" wrapText="1"/>
    </xf>
    <xf numFmtId="0" fontId="2" fillId="4" borderId="5" xfId="0" applyFont="1" applyFill="1" applyBorder="1" applyAlignment="1">
      <alignment wrapText="1"/>
    </xf>
    <xf numFmtId="0" fontId="21" fillId="2" borderId="6" xfId="0" applyFont="1" applyFill="1" applyBorder="1" applyAlignment="1">
      <alignment horizontal="center"/>
    </xf>
    <xf numFmtId="0" fontId="2" fillId="2" borderId="4" xfId="0" applyFont="1" applyFill="1" applyBorder="1" applyAlignment="1">
      <alignment wrapText="1"/>
    </xf>
    <xf numFmtId="0" fontId="2" fillId="0" borderId="4" xfId="0" applyFont="1" applyBorder="1" applyAlignment="1">
      <alignment horizontal="left" vertical="top" wrapText="1"/>
    </xf>
    <xf numFmtId="0" fontId="10" fillId="0" borderId="12" xfId="0" applyFont="1" applyBorder="1" applyAlignment="1">
      <alignment horizontal="left" wrapText="1"/>
    </xf>
    <xf numFmtId="0" fontId="11" fillId="0" borderId="0" xfId="0" applyFont="1" applyAlignment="1">
      <alignment wrapText="1"/>
    </xf>
    <xf numFmtId="0" fontId="2" fillId="0" borderId="0" xfId="0" applyFont="1" applyAlignment="1">
      <alignment vertical="top"/>
    </xf>
    <xf numFmtId="0" fontId="10" fillId="0" borderId="1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000" b="0" i="0">
                <a:solidFill>
                  <a:srgbClr val="595959"/>
                </a:solidFill>
                <a:latin typeface="+mn-lt"/>
              </a:defRPr>
            </a:pPr>
            <a:r>
              <a:rPr lang="en-US" sz="2000" b="0" i="0">
                <a:solidFill>
                  <a:srgbClr val="595959"/>
                </a:solidFill>
                <a:latin typeface="+mn-lt"/>
              </a:rPr>
              <a:t>Retention of weekly active cohorts</a:t>
            </a:r>
          </a:p>
        </c:rich>
      </c:tx>
      <c:overlay val="0"/>
    </c:title>
    <c:autoTitleDeleted val="0"/>
    <c:plotArea>
      <c:layout/>
      <c:lineChart>
        <c:grouping val="standard"/>
        <c:varyColors val="1"/>
        <c:ser>
          <c:idx val="0"/>
          <c:order val="0"/>
          <c:spPr>
            <a:ln w="28575" cmpd="sng">
              <a:solidFill>
                <a:srgbClr val="4472C4"/>
              </a:solidFill>
              <a:prstDash val="solid"/>
            </a:ln>
          </c:spPr>
          <c:marker>
            <c:symbol val="none"/>
          </c:marke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'Tab 3 - Retention Cohort Analys'!$C$31:$M$31</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'Tab 3 - Retention Cohort Analys'!$C$32:$M$32</c:f>
              <c:numCache>
                <c:formatCode>0%</c:formatCode>
                <c:ptCount val="11"/>
                <c:pt idx="0">
                  <c:v>0.99</c:v>
                </c:pt>
                <c:pt idx="1">
                  <c:v>0.75</c:v>
                </c:pt>
                <c:pt idx="2">
                  <c:v>0.72</c:v>
                </c:pt>
                <c:pt idx="3">
                  <c:v>0.68</c:v>
                </c:pt>
                <c:pt idx="4">
                  <c:v>0.64</c:v>
                </c:pt>
                <c:pt idx="5">
                  <c:v>0.6</c:v>
                </c:pt>
                <c:pt idx="6">
                  <c:v>0.54</c:v>
                </c:pt>
                <c:pt idx="7">
                  <c:v>0.53</c:v>
                </c:pt>
                <c:pt idx="8">
                  <c:v>0.5</c:v>
                </c:pt>
                <c:pt idx="9">
                  <c:v>0.49</c:v>
                </c:pt>
                <c:pt idx="10">
                  <c:v>0.48</c:v>
                </c:pt>
              </c:numCache>
            </c:numRef>
          </c:val>
          <c:smooth val="0"/>
          <c:extLst>
            <c:ext xmlns:c16="http://schemas.microsoft.com/office/drawing/2014/chart" uri="{C3380CC4-5D6E-409C-BE32-E72D297353CC}">
              <c16:uniqueId val="{00000000-4363-4F1D-9C01-443126A23A75}"/>
            </c:ext>
          </c:extLst>
        </c:ser>
        <c:dLbls>
          <c:showLegendKey val="0"/>
          <c:showVal val="0"/>
          <c:showCatName val="0"/>
          <c:showSerName val="0"/>
          <c:showPercent val="0"/>
          <c:showBubbleSize val="0"/>
        </c:dLbls>
        <c:smooth val="0"/>
        <c:axId val="236684471"/>
        <c:axId val="1515538508"/>
      </c:lineChart>
      <c:catAx>
        <c:axId val="236684471"/>
        <c:scaling>
          <c:orientation val="minMax"/>
        </c:scaling>
        <c:delete val="0"/>
        <c:axPos val="b"/>
        <c:title>
          <c:tx>
            <c:rich>
              <a:bodyPr/>
              <a:lstStyle/>
              <a:p>
                <a:pPr lvl="0">
                  <a:defRPr sz="2000" b="0">
                    <a:solidFill>
                      <a:srgbClr val="000000"/>
                    </a:solidFill>
                    <a:latin typeface="+mn-lt"/>
                  </a:defRPr>
                </a:pPr>
                <a:r>
                  <a:rPr lang="en-US" sz="2000" b="0">
                    <a:solidFill>
                      <a:srgbClr val="000000"/>
                    </a:solidFill>
                    <a:latin typeface="+mn-lt"/>
                  </a:rPr>
                  <a:t>Week</a:t>
                </a:r>
              </a:p>
            </c:rich>
          </c:tx>
          <c:overlay val="0"/>
        </c:title>
        <c:numFmt formatCode="General" sourceLinked="1"/>
        <c:majorTickMark val="none"/>
        <c:minorTickMark val="none"/>
        <c:tickLblPos val="nextTo"/>
        <c:spPr>
          <a:ln>
            <a:prstDash val="solid"/>
          </a:ln>
        </c:spPr>
        <c:txPr>
          <a:bodyPr rot="-16800000"/>
          <a:lstStyle/>
          <a:p>
            <a:pPr lvl="0">
              <a:defRPr sz="1600" b="0" i="0">
                <a:solidFill>
                  <a:srgbClr val="595959"/>
                </a:solidFill>
                <a:latin typeface="+mn-lt"/>
              </a:defRPr>
            </a:pPr>
            <a:endParaRPr lang="en-US"/>
          </a:p>
        </c:txPr>
        <c:crossAx val="1515538508"/>
        <c:crosses val="autoZero"/>
        <c:auto val="1"/>
        <c:lblAlgn val="ctr"/>
        <c:lblOffset val="100"/>
        <c:noMultiLvlLbl val="1"/>
      </c:catAx>
      <c:valAx>
        <c:axId val="1515538508"/>
        <c:scaling>
          <c:orientation val="minMax"/>
          <c:max val="1"/>
        </c:scaling>
        <c:delete val="0"/>
        <c:axPos val="l"/>
        <c:majorGridlines>
          <c:spPr>
            <a:ln>
              <a:solidFill>
                <a:srgbClr val="D9D9D9"/>
              </a:solidFill>
              <a:prstDash val="solid"/>
            </a:ln>
          </c:spPr>
        </c:majorGridlines>
        <c:minorGridlines>
          <c:spPr>
            <a:ln>
              <a:solidFill>
                <a:srgbClr val="CCCCCC"/>
              </a:solidFill>
              <a:prstDash val="solid"/>
            </a:ln>
          </c:spPr>
        </c:minorGridlines>
        <c:title>
          <c:tx>
            <c:rich>
              <a:bodyPr/>
              <a:lstStyle/>
              <a:p>
                <a:pPr lvl="0">
                  <a:defRPr sz="2000" b="0">
                    <a:solidFill>
                      <a:srgbClr val="000000"/>
                    </a:solidFill>
                    <a:latin typeface="+mn-lt"/>
                  </a:defRPr>
                </a:pPr>
                <a:r>
                  <a:rPr lang="en-US" sz="2000" b="0">
                    <a:solidFill>
                      <a:srgbClr val="000000"/>
                    </a:solidFill>
                    <a:latin typeface="+mn-lt"/>
                  </a:rPr>
                  <a:t>% Of weekly active users </a:t>
                </a:r>
              </a:p>
            </c:rich>
          </c:tx>
          <c:overlay val="0"/>
        </c:title>
        <c:numFmt formatCode="0%" sourceLinked="1"/>
        <c:majorTickMark val="none"/>
        <c:minorTickMark val="none"/>
        <c:tickLblPos val="nextTo"/>
        <c:spPr>
          <a:ln>
            <a:prstDash val="solid"/>
          </a:ln>
        </c:spPr>
        <c:txPr>
          <a:bodyPr/>
          <a:lstStyle/>
          <a:p>
            <a:pPr lvl="0">
              <a:defRPr b="0" i="0">
                <a:solidFill>
                  <a:srgbClr val="595959"/>
                </a:solidFill>
                <a:latin typeface="+mn-lt"/>
              </a:defRPr>
            </a:pPr>
            <a:endParaRPr lang="en-US"/>
          </a:p>
        </c:txPr>
        <c:crossAx val="236684471"/>
        <c:crosses val="autoZero"/>
        <c:crossBetween val="between"/>
      </c:valAx>
    </c:plotArea>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0" i="0" u="none" strike="noStrike" kern="1200" spc="0" baseline="0">
                <a:solidFill>
                  <a:srgbClr val="000000">
                    <a:lumMod val="65000"/>
                    <a:lumOff val="35000"/>
                  </a:srgbClr>
                </a:solidFill>
              </a:rPr>
              <a:t>% retained - industry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lotArea>
      <c:layout/>
      <c:lineChart>
        <c:grouping val="standard"/>
        <c:varyColors val="0"/>
        <c:ser>
          <c:idx val="1"/>
          <c:order val="1"/>
          <c:tx>
            <c:strRef>
              <c:f>'Tab 5 - Retention Segmentation'!$A$29:$B$29</c:f>
              <c:strCache>
                <c:ptCount val="2"/>
                <c:pt idx="0">
                  <c:v>Total</c:v>
                </c:pt>
                <c:pt idx="1">
                  <c:v>921</c:v>
                </c:pt>
              </c:strCache>
            </c:strRef>
          </c:tx>
          <c:spPr>
            <a:ln w="28575" cap="rnd">
              <a:solidFill>
                <a:schemeClr val="accent2"/>
              </a:solidFill>
              <a:round/>
            </a:ln>
            <a:effectLst/>
          </c:spPr>
          <c:marker>
            <c:symbol val="none"/>
          </c:marker>
          <c:cat>
            <c:multiLvlStrRef>
              <c:f>'Tab 5 - Retention Segmentation'!$C$26:$Q$27</c:f>
              <c:multiLvlStrCache>
                <c:ptCount val="1"/>
                <c:lvl>
                  <c:pt idx="0">
                    <c:v>Number of Weeks</c:v>
                  </c:pt>
                </c:lvl>
                <c:lvl>
                  <c:pt idx="0">
                    <c:v>% of Retained Users - Industry Segment</c:v>
                  </c:pt>
                </c:lvl>
              </c:multiLvlStrCache>
            </c:multiLvlStrRef>
          </c:cat>
          <c:val>
            <c:numRef>
              <c:f>'Tab 5 - Retention Segmentation'!$C$29:$Q$29</c:f>
              <c:numCache>
                <c:formatCode>0%</c:formatCode>
                <c:ptCount val="15"/>
                <c:pt idx="0">
                  <c:v>0.95</c:v>
                </c:pt>
                <c:pt idx="1">
                  <c:v>0.87</c:v>
                </c:pt>
                <c:pt idx="2">
                  <c:v>0.81</c:v>
                </c:pt>
                <c:pt idx="3">
                  <c:v>0.75</c:v>
                </c:pt>
                <c:pt idx="4">
                  <c:v>0.74</c:v>
                </c:pt>
                <c:pt idx="5">
                  <c:v>0.69</c:v>
                </c:pt>
                <c:pt idx="6">
                  <c:v>0.68</c:v>
                </c:pt>
                <c:pt idx="7">
                  <c:v>0.62</c:v>
                </c:pt>
                <c:pt idx="8">
                  <c:v>0.56000000000000005</c:v>
                </c:pt>
                <c:pt idx="9">
                  <c:v>0.55000000000000004</c:v>
                </c:pt>
                <c:pt idx="10">
                  <c:v>0.55000000000000004</c:v>
                </c:pt>
                <c:pt idx="11">
                  <c:v>0.52</c:v>
                </c:pt>
                <c:pt idx="12">
                  <c:v>0.47</c:v>
                </c:pt>
                <c:pt idx="13">
                  <c:v>0.42</c:v>
                </c:pt>
                <c:pt idx="14">
                  <c:v>0.42</c:v>
                </c:pt>
              </c:numCache>
            </c:numRef>
          </c:val>
          <c:smooth val="0"/>
          <c:extLst>
            <c:ext xmlns:c16="http://schemas.microsoft.com/office/drawing/2014/chart" uri="{C3380CC4-5D6E-409C-BE32-E72D297353CC}">
              <c16:uniqueId val="{00000001-7493-46B9-A747-01634A4484AD}"/>
            </c:ext>
          </c:extLst>
        </c:ser>
        <c:ser>
          <c:idx val="2"/>
          <c:order val="2"/>
          <c:tx>
            <c:strRef>
              <c:f>'Tab 5 - Retention Segmentation'!$A$30:$B$30</c:f>
              <c:strCache>
                <c:ptCount val="2"/>
                <c:pt idx="0">
                  <c:v>Technology</c:v>
                </c:pt>
                <c:pt idx="1">
                  <c:v>279</c:v>
                </c:pt>
              </c:strCache>
            </c:strRef>
          </c:tx>
          <c:spPr>
            <a:ln w="28575" cap="rnd">
              <a:solidFill>
                <a:schemeClr val="accent3"/>
              </a:solidFill>
              <a:round/>
            </a:ln>
            <a:effectLst/>
          </c:spPr>
          <c:marker>
            <c:symbol val="none"/>
          </c:marker>
          <c:cat>
            <c:multiLvlStrRef>
              <c:f>'Tab 5 - Retention Segmentation'!$C$26:$Q$27</c:f>
              <c:multiLvlStrCache>
                <c:ptCount val="1"/>
                <c:lvl>
                  <c:pt idx="0">
                    <c:v>Number of Weeks</c:v>
                  </c:pt>
                </c:lvl>
                <c:lvl>
                  <c:pt idx="0">
                    <c:v>% of Retained Users - Industry Segment</c:v>
                  </c:pt>
                </c:lvl>
              </c:multiLvlStrCache>
            </c:multiLvlStrRef>
          </c:cat>
          <c:val>
            <c:numRef>
              <c:f>'Tab 5 - Retention Segmentation'!$C$30:$Q$30</c:f>
              <c:numCache>
                <c:formatCode>0%</c:formatCode>
                <c:ptCount val="15"/>
                <c:pt idx="0">
                  <c:v>0.94</c:v>
                </c:pt>
                <c:pt idx="1">
                  <c:v>0.87</c:v>
                </c:pt>
                <c:pt idx="2">
                  <c:v>0.83</c:v>
                </c:pt>
                <c:pt idx="3">
                  <c:v>0.79</c:v>
                </c:pt>
                <c:pt idx="4">
                  <c:v>0.75</c:v>
                </c:pt>
                <c:pt idx="5">
                  <c:v>0.67</c:v>
                </c:pt>
                <c:pt idx="6">
                  <c:v>0.63</c:v>
                </c:pt>
                <c:pt idx="7">
                  <c:v>0.6</c:v>
                </c:pt>
                <c:pt idx="8">
                  <c:v>0.56999999999999995</c:v>
                </c:pt>
                <c:pt idx="9">
                  <c:v>0.54</c:v>
                </c:pt>
                <c:pt idx="10">
                  <c:v>0.52</c:v>
                </c:pt>
                <c:pt idx="11">
                  <c:v>0.49</c:v>
                </c:pt>
                <c:pt idx="12">
                  <c:v>0.47</c:v>
                </c:pt>
                <c:pt idx="13">
                  <c:v>0.44</c:v>
                </c:pt>
                <c:pt idx="14">
                  <c:v>0.42</c:v>
                </c:pt>
              </c:numCache>
            </c:numRef>
          </c:val>
          <c:smooth val="0"/>
          <c:extLst>
            <c:ext xmlns:c16="http://schemas.microsoft.com/office/drawing/2014/chart" uri="{C3380CC4-5D6E-409C-BE32-E72D297353CC}">
              <c16:uniqueId val="{00000002-7493-46B9-A747-01634A4484AD}"/>
            </c:ext>
          </c:extLst>
        </c:ser>
        <c:ser>
          <c:idx val="3"/>
          <c:order val="3"/>
          <c:tx>
            <c:strRef>
              <c:f>'Tab 5 - Retention Segmentation'!$A$31:$B$31</c:f>
              <c:strCache>
                <c:ptCount val="2"/>
                <c:pt idx="0">
                  <c:v>Retail </c:v>
                </c:pt>
                <c:pt idx="1">
                  <c:v>165</c:v>
                </c:pt>
              </c:strCache>
            </c:strRef>
          </c:tx>
          <c:spPr>
            <a:ln w="28575" cap="rnd">
              <a:solidFill>
                <a:schemeClr val="accent4"/>
              </a:solidFill>
              <a:round/>
            </a:ln>
            <a:effectLst/>
          </c:spPr>
          <c:marker>
            <c:symbol val="none"/>
          </c:marker>
          <c:cat>
            <c:multiLvlStrRef>
              <c:f>'Tab 5 - Retention Segmentation'!$C$26:$Q$27</c:f>
              <c:multiLvlStrCache>
                <c:ptCount val="1"/>
                <c:lvl>
                  <c:pt idx="0">
                    <c:v>Number of Weeks</c:v>
                  </c:pt>
                </c:lvl>
                <c:lvl>
                  <c:pt idx="0">
                    <c:v>% of Retained Users - Industry Segment</c:v>
                  </c:pt>
                </c:lvl>
              </c:multiLvlStrCache>
            </c:multiLvlStrRef>
          </c:cat>
          <c:val>
            <c:numRef>
              <c:f>'Tab 5 - Retention Segmentation'!$C$31:$Q$31</c:f>
              <c:numCache>
                <c:formatCode>0%</c:formatCode>
                <c:ptCount val="15"/>
                <c:pt idx="0">
                  <c:v>0.98</c:v>
                </c:pt>
                <c:pt idx="1">
                  <c:v>0.93</c:v>
                </c:pt>
                <c:pt idx="2">
                  <c:v>0.89</c:v>
                </c:pt>
                <c:pt idx="3">
                  <c:v>0.84</c:v>
                </c:pt>
                <c:pt idx="4">
                  <c:v>0.8</c:v>
                </c:pt>
                <c:pt idx="5">
                  <c:v>0.76</c:v>
                </c:pt>
                <c:pt idx="6">
                  <c:v>0.72</c:v>
                </c:pt>
                <c:pt idx="7">
                  <c:v>0.69</c:v>
                </c:pt>
                <c:pt idx="8">
                  <c:v>0.65</c:v>
                </c:pt>
                <c:pt idx="9">
                  <c:v>0.62</c:v>
                </c:pt>
                <c:pt idx="10">
                  <c:v>0.59</c:v>
                </c:pt>
                <c:pt idx="11">
                  <c:v>0.56000000000000005</c:v>
                </c:pt>
                <c:pt idx="12">
                  <c:v>0.53</c:v>
                </c:pt>
                <c:pt idx="13">
                  <c:v>0.5</c:v>
                </c:pt>
                <c:pt idx="14">
                  <c:v>0.48</c:v>
                </c:pt>
              </c:numCache>
            </c:numRef>
          </c:val>
          <c:smooth val="0"/>
          <c:extLst>
            <c:ext xmlns:c16="http://schemas.microsoft.com/office/drawing/2014/chart" uri="{C3380CC4-5D6E-409C-BE32-E72D297353CC}">
              <c16:uniqueId val="{00000003-7493-46B9-A747-01634A4484AD}"/>
            </c:ext>
          </c:extLst>
        </c:ser>
        <c:ser>
          <c:idx val="4"/>
          <c:order val="4"/>
          <c:tx>
            <c:strRef>
              <c:f>'Tab 5 - Retention Segmentation'!$A$32:$B$32</c:f>
              <c:strCache>
                <c:ptCount val="2"/>
                <c:pt idx="0">
                  <c:v>Healthcare</c:v>
                </c:pt>
                <c:pt idx="1">
                  <c:v>138</c:v>
                </c:pt>
              </c:strCache>
            </c:strRef>
          </c:tx>
          <c:spPr>
            <a:ln w="28575" cap="rnd">
              <a:solidFill>
                <a:schemeClr val="accent5"/>
              </a:solidFill>
              <a:round/>
            </a:ln>
            <a:effectLst/>
          </c:spPr>
          <c:marker>
            <c:symbol val="none"/>
          </c:marker>
          <c:cat>
            <c:multiLvlStrRef>
              <c:f>'Tab 5 - Retention Segmentation'!$C$26:$Q$27</c:f>
              <c:multiLvlStrCache>
                <c:ptCount val="1"/>
                <c:lvl>
                  <c:pt idx="0">
                    <c:v>Number of Weeks</c:v>
                  </c:pt>
                </c:lvl>
                <c:lvl>
                  <c:pt idx="0">
                    <c:v>% of Retained Users - Industry Segment</c:v>
                  </c:pt>
                </c:lvl>
              </c:multiLvlStrCache>
            </c:multiLvlStrRef>
          </c:cat>
          <c:val>
            <c:numRef>
              <c:f>'Tab 5 - Retention Segmentation'!$C$32:$Q$32</c:f>
              <c:numCache>
                <c:formatCode>0%</c:formatCode>
                <c:ptCount val="15"/>
                <c:pt idx="0">
                  <c:v>0.96</c:v>
                </c:pt>
                <c:pt idx="1">
                  <c:v>0.88</c:v>
                </c:pt>
                <c:pt idx="2">
                  <c:v>0.84</c:v>
                </c:pt>
                <c:pt idx="3">
                  <c:v>0.8</c:v>
                </c:pt>
                <c:pt idx="4">
                  <c:v>0.76</c:v>
                </c:pt>
                <c:pt idx="5">
                  <c:v>0.72</c:v>
                </c:pt>
                <c:pt idx="6">
                  <c:v>0.68</c:v>
                </c:pt>
                <c:pt idx="7">
                  <c:v>0.65</c:v>
                </c:pt>
                <c:pt idx="8">
                  <c:v>0.62</c:v>
                </c:pt>
                <c:pt idx="9">
                  <c:v>0.59</c:v>
                </c:pt>
                <c:pt idx="10">
                  <c:v>0.56000000000000005</c:v>
                </c:pt>
                <c:pt idx="11">
                  <c:v>0.53</c:v>
                </c:pt>
                <c:pt idx="12">
                  <c:v>0.5</c:v>
                </c:pt>
                <c:pt idx="13">
                  <c:v>0.48</c:v>
                </c:pt>
                <c:pt idx="14">
                  <c:v>0.45</c:v>
                </c:pt>
              </c:numCache>
            </c:numRef>
          </c:val>
          <c:smooth val="0"/>
          <c:extLst>
            <c:ext xmlns:c16="http://schemas.microsoft.com/office/drawing/2014/chart" uri="{C3380CC4-5D6E-409C-BE32-E72D297353CC}">
              <c16:uniqueId val="{00000004-7493-46B9-A747-01634A4484AD}"/>
            </c:ext>
          </c:extLst>
        </c:ser>
        <c:ser>
          <c:idx val="5"/>
          <c:order val="5"/>
          <c:tx>
            <c:strRef>
              <c:f>'Tab 5 - Retention Segmentation'!$A$33:$B$33</c:f>
              <c:strCache>
                <c:ptCount val="2"/>
                <c:pt idx="0">
                  <c:v>Financial Services</c:v>
                </c:pt>
                <c:pt idx="1">
                  <c:v>110</c:v>
                </c:pt>
              </c:strCache>
            </c:strRef>
          </c:tx>
          <c:spPr>
            <a:ln w="28575" cap="rnd">
              <a:solidFill>
                <a:schemeClr val="accent6"/>
              </a:solidFill>
              <a:round/>
            </a:ln>
            <a:effectLst/>
          </c:spPr>
          <c:marker>
            <c:symbol val="none"/>
          </c:marker>
          <c:cat>
            <c:multiLvlStrRef>
              <c:f>'Tab 5 - Retention Segmentation'!$C$26:$Q$27</c:f>
              <c:multiLvlStrCache>
                <c:ptCount val="1"/>
                <c:lvl>
                  <c:pt idx="0">
                    <c:v>Number of Weeks</c:v>
                  </c:pt>
                </c:lvl>
                <c:lvl>
                  <c:pt idx="0">
                    <c:v>% of Retained Users - Industry Segment</c:v>
                  </c:pt>
                </c:lvl>
              </c:multiLvlStrCache>
            </c:multiLvlStrRef>
          </c:cat>
          <c:val>
            <c:numRef>
              <c:f>'Tab 5 - Retention Segmentation'!$C$33:$Q$33</c:f>
              <c:numCache>
                <c:formatCode>0%</c:formatCode>
                <c:ptCount val="15"/>
                <c:pt idx="0">
                  <c:v>0.96</c:v>
                </c:pt>
                <c:pt idx="1">
                  <c:v>0.93</c:v>
                </c:pt>
                <c:pt idx="2">
                  <c:v>0.88</c:v>
                </c:pt>
                <c:pt idx="3">
                  <c:v>0.84</c:v>
                </c:pt>
                <c:pt idx="4">
                  <c:v>0.8</c:v>
                </c:pt>
                <c:pt idx="5">
                  <c:v>0.76</c:v>
                </c:pt>
                <c:pt idx="6">
                  <c:v>0.72</c:v>
                </c:pt>
                <c:pt idx="7">
                  <c:v>0.68</c:v>
                </c:pt>
                <c:pt idx="8">
                  <c:v>0.65</c:v>
                </c:pt>
                <c:pt idx="9">
                  <c:v>0.62</c:v>
                </c:pt>
                <c:pt idx="10">
                  <c:v>0.59</c:v>
                </c:pt>
                <c:pt idx="11">
                  <c:v>0.56000000000000005</c:v>
                </c:pt>
                <c:pt idx="12">
                  <c:v>0.53</c:v>
                </c:pt>
                <c:pt idx="13">
                  <c:v>0.5</c:v>
                </c:pt>
                <c:pt idx="14">
                  <c:v>0.48</c:v>
                </c:pt>
              </c:numCache>
            </c:numRef>
          </c:val>
          <c:smooth val="0"/>
          <c:extLst>
            <c:ext xmlns:c16="http://schemas.microsoft.com/office/drawing/2014/chart" uri="{C3380CC4-5D6E-409C-BE32-E72D297353CC}">
              <c16:uniqueId val="{00000005-7493-46B9-A747-01634A4484AD}"/>
            </c:ext>
          </c:extLst>
        </c:ser>
        <c:ser>
          <c:idx val="6"/>
          <c:order val="6"/>
          <c:tx>
            <c:strRef>
              <c:f>'Tab 5 - Retention Segmentation'!$A$34:$B$34</c:f>
              <c:strCache>
                <c:ptCount val="2"/>
                <c:pt idx="0">
                  <c:v>Manufacturing</c:v>
                </c:pt>
                <c:pt idx="1">
                  <c:v>90</c:v>
                </c:pt>
              </c:strCache>
            </c:strRef>
          </c:tx>
          <c:spPr>
            <a:ln w="28575" cap="rnd">
              <a:solidFill>
                <a:schemeClr val="accent1">
                  <a:lumMod val="60000"/>
                </a:schemeClr>
              </a:solidFill>
              <a:round/>
            </a:ln>
            <a:effectLst/>
          </c:spPr>
          <c:marker>
            <c:symbol val="none"/>
          </c:marker>
          <c:cat>
            <c:multiLvlStrRef>
              <c:f>'Tab 5 - Retention Segmentation'!$C$26:$Q$27</c:f>
              <c:multiLvlStrCache>
                <c:ptCount val="1"/>
                <c:lvl>
                  <c:pt idx="0">
                    <c:v>Number of Weeks</c:v>
                  </c:pt>
                </c:lvl>
                <c:lvl>
                  <c:pt idx="0">
                    <c:v>% of Retained Users - Industry Segment</c:v>
                  </c:pt>
                </c:lvl>
              </c:multiLvlStrCache>
            </c:multiLvlStrRef>
          </c:cat>
          <c:val>
            <c:numRef>
              <c:f>'Tab 5 - Retention Segmentation'!$C$34:$Q$34</c:f>
              <c:numCache>
                <c:formatCode>0%</c:formatCode>
                <c:ptCount val="15"/>
                <c:pt idx="0">
                  <c:v>0.8</c:v>
                </c:pt>
                <c:pt idx="1">
                  <c:v>0.75</c:v>
                </c:pt>
                <c:pt idx="2">
                  <c:v>0.71</c:v>
                </c:pt>
                <c:pt idx="3">
                  <c:v>0.67</c:v>
                </c:pt>
                <c:pt idx="4">
                  <c:v>0.64</c:v>
                </c:pt>
                <c:pt idx="5">
                  <c:v>0.61</c:v>
                </c:pt>
                <c:pt idx="6">
                  <c:v>0.57999999999999996</c:v>
                </c:pt>
                <c:pt idx="7">
                  <c:v>0.55000000000000004</c:v>
                </c:pt>
                <c:pt idx="8">
                  <c:v>0.52</c:v>
                </c:pt>
                <c:pt idx="9">
                  <c:v>0.5</c:v>
                </c:pt>
                <c:pt idx="10">
                  <c:v>0.47</c:v>
                </c:pt>
                <c:pt idx="11">
                  <c:v>0.45</c:v>
                </c:pt>
                <c:pt idx="12">
                  <c:v>0.43</c:v>
                </c:pt>
                <c:pt idx="13">
                  <c:v>0.4</c:v>
                </c:pt>
                <c:pt idx="14">
                  <c:v>0.38</c:v>
                </c:pt>
              </c:numCache>
            </c:numRef>
          </c:val>
          <c:smooth val="0"/>
          <c:extLst>
            <c:ext xmlns:c16="http://schemas.microsoft.com/office/drawing/2014/chart" uri="{C3380CC4-5D6E-409C-BE32-E72D297353CC}">
              <c16:uniqueId val="{00000006-7493-46B9-A747-01634A4484AD}"/>
            </c:ext>
          </c:extLst>
        </c:ser>
        <c:ser>
          <c:idx val="7"/>
          <c:order val="7"/>
          <c:tx>
            <c:strRef>
              <c:f>'Tab 5 - Retention Segmentation'!$A$35:$B$35</c:f>
              <c:strCache>
                <c:ptCount val="2"/>
                <c:pt idx="0">
                  <c:v>Consume Goods</c:v>
                </c:pt>
                <c:pt idx="1">
                  <c:v>74</c:v>
                </c:pt>
              </c:strCache>
            </c:strRef>
          </c:tx>
          <c:spPr>
            <a:ln w="28575" cap="rnd">
              <a:solidFill>
                <a:schemeClr val="accent2">
                  <a:lumMod val="60000"/>
                </a:schemeClr>
              </a:solidFill>
              <a:round/>
            </a:ln>
            <a:effectLst/>
          </c:spPr>
          <c:marker>
            <c:symbol val="none"/>
          </c:marker>
          <c:cat>
            <c:multiLvlStrRef>
              <c:f>'Tab 5 - Retention Segmentation'!$C$26:$Q$27</c:f>
              <c:multiLvlStrCache>
                <c:ptCount val="1"/>
                <c:lvl>
                  <c:pt idx="0">
                    <c:v>Number of Weeks</c:v>
                  </c:pt>
                </c:lvl>
                <c:lvl>
                  <c:pt idx="0">
                    <c:v>% of Retained Users - Industry Segment</c:v>
                  </c:pt>
                </c:lvl>
              </c:multiLvlStrCache>
            </c:multiLvlStrRef>
          </c:cat>
          <c:val>
            <c:numRef>
              <c:f>'Tab 5 - Retention Segmentation'!$C$35:$Q$35</c:f>
              <c:numCache>
                <c:formatCode>0%</c:formatCode>
                <c:ptCount val="15"/>
                <c:pt idx="0">
                  <c:v>0.92</c:v>
                </c:pt>
                <c:pt idx="1">
                  <c:v>0.88</c:v>
                </c:pt>
                <c:pt idx="2">
                  <c:v>0.83</c:v>
                </c:pt>
                <c:pt idx="3">
                  <c:v>0.79</c:v>
                </c:pt>
                <c:pt idx="4">
                  <c:v>0.75</c:v>
                </c:pt>
                <c:pt idx="5">
                  <c:v>0.71</c:v>
                </c:pt>
                <c:pt idx="6">
                  <c:v>0.68</c:v>
                </c:pt>
                <c:pt idx="7">
                  <c:v>0.65</c:v>
                </c:pt>
                <c:pt idx="8">
                  <c:v>0.61</c:v>
                </c:pt>
                <c:pt idx="9">
                  <c:v>0.57999999999999996</c:v>
                </c:pt>
                <c:pt idx="10">
                  <c:v>0.55000000000000004</c:v>
                </c:pt>
                <c:pt idx="11">
                  <c:v>0.53</c:v>
                </c:pt>
                <c:pt idx="12">
                  <c:v>0.5</c:v>
                </c:pt>
                <c:pt idx="13">
                  <c:v>0.47</c:v>
                </c:pt>
                <c:pt idx="14">
                  <c:v>0.45</c:v>
                </c:pt>
              </c:numCache>
            </c:numRef>
          </c:val>
          <c:smooth val="0"/>
          <c:extLst>
            <c:ext xmlns:c16="http://schemas.microsoft.com/office/drawing/2014/chart" uri="{C3380CC4-5D6E-409C-BE32-E72D297353CC}">
              <c16:uniqueId val="{00000007-7493-46B9-A747-01634A4484AD}"/>
            </c:ext>
          </c:extLst>
        </c:ser>
        <c:ser>
          <c:idx val="8"/>
          <c:order val="8"/>
          <c:tx>
            <c:strRef>
              <c:f>'Tab 5 - Retention Segmentation'!$A$36:$B$36</c:f>
              <c:strCache>
                <c:ptCount val="2"/>
                <c:pt idx="0">
                  <c:v>Transportation</c:v>
                </c:pt>
                <c:pt idx="1">
                  <c:v>46</c:v>
                </c:pt>
              </c:strCache>
            </c:strRef>
          </c:tx>
          <c:spPr>
            <a:ln w="28575" cap="rnd">
              <a:solidFill>
                <a:schemeClr val="accent3">
                  <a:lumMod val="60000"/>
                </a:schemeClr>
              </a:solidFill>
              <a:round/>
            </a:ln>
            <a:effectLst/>
          </c:spPr>
          <c:marker>
            <c:symbol val="none"/>
          </c:marker>
          <c:cat>
            <c:multiLvlStrRef>
              <c:f>'Tab 5 - Retention Segmentation'!$C$26:$Q$27</c:f>
              <c:multiLvlStrCache>
                <c:ptCount val="1"/>
                <c:lvl>
                  <c:pt idx="0">
                    <c:v>Number of Weeks</c:v>
                  </c:pt>
                </c:lvl>
                <c:lvl>
                  <c:pt idx="0">
                    <c:v>% of Retained Users - Industry Segment</c:v>
                  </c:pt>
                </c:lvl>
              </c:multiLvlStrCache>
            </c:multiLvlStrRef>
          </c:cat>
          <c:val>
            <c:numRef>
              <c:f>'Tab 5 - Retention Segmentation'!$C$36:$Q$36</c:f>
              <c:numCache>
                <c:formatCode>0%</c:formatCode>
                <c:ptCount val="15"/>
                <c:pt idx="0">
                  <c:v>0.91</c:v>
                </c:pt>
                <c:pt idx="1">
                  <c:v>0.85</c:v>
                </c:pt>
                <c:pt idx="2">
                  <c:v>0.81</c:v>
                </c:pt>
                <c:pt idx="3">
                  <c:v>0.77</c:v>
                </c:pt>
                <c:pt idx="4">
                  <c:v>0.73</c:v>
                </c:pt>
                <c:pt idx="5">
                  <c:v>0.69</c:v>
                </c:pt>
                <c:pt idx="6">
                  <c:v>0.66</c:v>
                </c:pt>
                <c:pt idx="7">
                  <c:v>0.63</c:v>
                </c:pt>
                <c:pt idx="8">
                  <c:v>0.59</c:v>
                </c:pt>
                <c:pt idx="9">
                  <c:v>0.56000000000000005</c:v>
                </c:pt>
                <c:pt idx="10">
                  <c:v>0.54</c:v>
                </c:pt>
                <c:pt idx="11">
                  <c:v>0.51</c:v>
                </c:pt>
                <c:pt idx="12">
                  <c:v>0.48</c:v>
                </c:pt>
                <c:pt idx="13">
                  <c:v>0.46</c:v>
                </c:pt>
                <c:pt idx="14">
                  <c:v>0.44</c:v>
                </c:pt>
              </c:numCache>
            </c:numRef>
          </c:val>
          <c:smooth val="0"/>
          <c:extLst>
            <c:ext xmlns:c16="http://schemas.microsoft.com/office/drawing/2014/chart" uri="{C3380CC4-5D6E-409C-BE32-E72D297353CC}">
              <c16:uniqueId val="{00000008-7493-46B9-A747-01634A4484AD}"/>
            </c:ext>
          </c:extLst>
        </c:ser>
        <c:ser>
          <c:idx val="9"/>
          <c:order val="9"/>
          <c:tx>
            <c:strRef>
              <c:f>'Tab 5 - Retention Segmentation'!$A$37:$B$37</c:f>
              <c:strCache>
                <c:ptCount val="2"/>
                <c:pt idx="0">
                  <c:v>Oil and Gas</c:v>
                </c:pt>
                <c:pt idx="1">
                  <c:v>19</c:v>
                </c:pt>
              </c:strCache>
            </c:strRef>
          </c:tx>
          <c:spPr>
            <a:ln w="28575" cap="rnd">
              <a:solidFill>
                <a:schemeClr val="accent4">
                  <a:lumMod val="60000"/>
                </a:schemeClr>
              </a:solidFill>
              <a:round/>
            </a:ln>
            <a:effectLst/>
          </c:spPr>
          <c:marker>
            <c:symbol val="none"/>
          </c:marker>
          <c:cat>
            <c:multiLvlStrRef>
              <c:f>'Tab 5 - Retention Segmentation'!$C$26:$Q$27</c:f>
              <c:multiLvlStrCache>
                <c:ptCount val="1"/>
                <c:lvl>
                  <c:pt idx="0">
                    <c:v>Number of Weeks</c:v>
                  </c:pt>
                </c:lvl>
                <c:lvl>
                  <c:pt idx="0">
                    <c:v>% of Retained Users - Industry Segment</c:v>
                  </c:pt>
                </c:lvl>
              </c:multiLvlStrCache>
            </c:multiLvlStrRef>
          </c:cat>
          <c:val>
            <c:numRef>
              <c:f>'Tab 5 - Retention Segmentation'!$C$37:$Q$37</c:f>
              <c:numCache>
                <c:formatCode>0%</c:formatCode>
                <c:ptCount val="15"/>
                <c:pt idx="0">
                  <c:v>0.89</c:v>
                </c:pt>
                <c:pt idx="1">
                  <c:v>0.85</c:v>
                </c:pt>
                <c:pt idx="2">
                  <c:v>0.81</c:v>
                </c:pt>
                <c:pt idx="3">
                  <c:v>0.77</c:v>
                </c:pt>
                <c:pt idx="4">
                  <c:v>0.73</c:v>
                </c:pt>
                <c:pt idx="5">
                  <c:v>0.69</c:v>
                </c:pt>
                <c:pt idx="6">
                  <c:v>0.66</c:v>
                </c:pt>
                <c:pt idx="7">
                  <c:v>0.62</c:v>
                </c:pt>
                <c:pt idx="8">
                  <c:v>0.59</c:v>
                </c:pt>
                <c:pt idx="9">
                  <c:v>0.56000000000000005</c:v>
                </c:pt>
                <c:pt idx="10">
                  <c:v>0.54</c:v>
                </c:pt>
                <c:pt idx="11">
                  <c:v>0.51</c:v>
                </c:pt>
                <c:pt idx="12">
                  <c:v>0.48</c:v>
                </c:pt>
                <c:pt idx="13">
                  <c:v>0.46</c:v>
                </c:pt>
                <c:pt idx="14">
                  <c:v>0.44</c:v>
                </c:pt>
              </c:numCache>
            </c:numRef>
          </c:val>
          <c:smooth val="0"/>
          <c:extLst>
            <c:ext xmlns:c16="http://schemas.microsoft.com/office/drawing/2014/chart" uri="{C3380CC4-5D6E-409C-BE32-E72D297353CC}">
              <c16:uniqueId val="{00000009-7493-46B9-A747-01634A4484AD}"/>
            </c:ext>
          </c:extLst>
        </c:ser>
        <c:ser>
          <c:idx val="10"/>
          <c:order val="10"/>
          <c:tx>
            <c:strRef>
              <c:f>'Tab 5 - Retention Segmentation'!$A$38:$B$38</c:f>
              <c:strCache>
                <c:ptCount val="2"/>
                <c:pt idx="0">
                  <c:v>Average</c:v>
                </c:pt>
              </c:strCache>
            </c:strRef>
          </c:tx>
          <c:spPr>
            <a:ln w="28575" cap="rnd">
              <a:solidFill>
                <a:schemeClr val="accent5">
                  <a:lumMod val="60000"/>
                </a:schemeClr>
              </a:solidFill>
              <a:round/>
            </a:ln>
            <a:effectLst/>
          </c:spPr>
          <c:marker>
            <c:symbol val="none"/>
          </c:marker>
          <c:cat>
            <c:multiLvlStrRef>
              <c:f>'Tab 5 - Retention Segmentation'!$C$26:$Q$27</c:f>
              <c:multiLvlStrCache>
                <c:ptCount val="1"/>
                <c:lvl>
                  <c:pt idx="0">
                    <c:v>Number of Weeks</c:v>
                  </c:pt>
                </c:lvl>
                <c:lvl>
                  <c:pt idx="0">
                    <c:v>% of Retained Users - Industry Segment</c:v>
                  </c:pt>
                </c:lvl>
              </c:multiLvlStrCache>
            </c:multiLvlStrRef>
          </c:cat>
          <c:val>
            <c:numRef>
              <c:f>'Tab 5 - Retention Segmentation'!$C$38:$Q$38</c:f>
              <c:numCache>
                <c:formatCode>General</c:formatCode>
                <c:ptCount val="15"/>
                <c:pt idx="0">
                  <c:v>0.92</c:v>
                </c:pt>
                <c:pt idx="1">
                  <c:v>0.87</c:v>
                </c:pt>
                <c:pt idx="2">
                  <c:v>0.82</c:v>
                </c:pt>
                <c:pt idx="3">
                  <c:v>0.78</c:v>
                </c:pt>
                <c:pt idx="4">
                  <c:v>0.74</c:v>
                </c:pt>
                <c:pt idx="5">
                  <c:v>0.7</c:v>
                </c:pt>
                <c:pt idx="6">
                  <c:v>0.67</c:v>
                </c:pt>
                <c:pt idx="7">
                  <c:v>0.63</c:v>
                </c:pt>
                <c:pt idx="8">
                  <c:v>0.6</c:v>
                </c:pt>
                <c:pt idx="9">
                  <c:v>0.56999999999999995</c:v>
                </c:pt>
                <c:pt idx="10">
                  <c:v>0.55000000000000004</c:v>
                </c:pt>
                <c:pt idx="11">
                  <c:v>0.52</c:v>
                </c:pt>
                <c:pt idx="12">
                  <c:v>0.49</c:v>
                </c:pt>
                <c:pt idx="13">
                  <c:v>0.46</c:v>
                </c:pt>
                <c:pt idx="14">
                  <c:v>0.44</c:v>
                </c:pt>
              </c:numCache>
            </c:numRef>
          </c:val>
          <c:smooth val="0"/>
          <c:extLst>
            <c:ext xmlns:c16="http://schemas.microsoft.com/office/drawing/2014/chart" uri="{C3380CC4-5D6E-409C-BE32-E72D297353CC}">
              <c16:uniqueId val="{0000000A-7493-46B9-A747-01634A4484AD}"/>
            </c:ext>
          </c:extLst>
        </c:ser>
        <c:dLbls>
          <c:showLegendKey val="0"/>
          <c:showVal val="0"/>
          <c:showCatName val="0"/>
          <c:showSerName val="0"/>
          <c:showPercent val="0"/>
          <c:showBubbleSize val="0"/>
        </c:dLbls>
        <c:smooth val="0"/>
        <c:axId val="1704688815"/>
        <c:axId val="1704694575"/>
        <c:extLst>
          <c:ext xmlns:c15="http://schemas.microsoft.com/office/drawing/2012/chart" uri="{02D57815-91ED-43cb-92C2-25804820EDAC}">
            <c15:filteredLineSeries>
              <c15:ser>
                <c:idx val="0"/>
                <c:order val="0"/>
                <c:tx>
                  <c:strRef>
                    <c:extLst>
                      <c:ext uri="{02D57815-91ED-43cb-92C2-25804820EDAC}">
                        <c15:formulaRef>
                          <c15:sqref>'Tab 5 - Retention Segmentation'!$A$28:$B$28</c15:sqref>
                        </c15:formulaRef>
                      </c:ext>
                    </c:extLst>
                    <c:strCache>
                      <c:ptCount val="2"/>
                      <c:pt idx="0">
                        <c:v>Industry</c:v>
                      </c:pt>
                      <c:pt idx="1">
                        <c:v>New Users Acquired</c:v>
                      </c:pt>
                    </c:strCache>
                  </c:strRef>
                </c:tx>
                <c:spPr>
                  <a:ln w="28575" cap="rnd">
                    <a:solidFill>
                      <a:schemeClr val="accent1"/>
                    </a:solidFill>
                    <a:round/>
                  </a:ln>
                  <a:effectLst/>
                </c:spPr>
                <c:marker>
                  <c:symbol val="none"/>
                </c:marker>
                <c:cat>
                  <c:multiLvlStrRef>
                    <c:extLst>
                      <c:ext uri="{02D57815-91ED-43cb-92C2-25804820EDAC}">
                        <c15:formulaRef>
                          <c15:sqref>'Tab 5 - Retention Segmentation'!$C$26:$Q$27</c15:sqref>
                        </c15:formulaRef>
                      </c:ext>
                    </c:extLst>
                    <c:multiLvlStrCache>
                      <c:ptCount val="1"/>
                      <c:lvl>
                        <c:pt idx="0">
                          <c:v>Number of Weeks</c:v>
                        </c:pt>
                      </c:lvl>
                      <c:lvl>
                        <c:pt idx="0">
                          <c:v>% of Retained Users - Industry Segment</c:v>
                        </c:pt>
                      </c:lvl>
                    </c:multiLvlStrCache>
                  </c:multiLvlStrRef>
                </c:cat>
                <c:val>
                  <c:numRef>
                    <c:extLst>
                      <c:ext uri="{02D57815-91ED-43cb-92C2-25804820EDAC}">
                        <c15:formulaRef>
                          <c15:sqref>'Tab 5 - Retention Segmentation'!$C$28:$Q$28</c15:sqref>
                        </c15:formulaRef>
                      </c:ext>
                    </c:extLst>
                    <c:numCache>
                      <c:formatCode>General</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val>
                <c:smooth val="0"/>
                <c:extLst>
                  <c:ext xmlns:c16="http://schemas.microsoft.com/office/drawing/2014/chart" uri="{C3380CC4-5D6E-409C-BE32-E72D297353CC}">
                    <c16:uniqueId val="{00000000-7493-46B9-A747-01634A4484AD}"/>
                  </c:ext>
                </c:extLst>
              </c15:ser>
            </c15:filteredLineSeries>
          </c:ext>
        </c:extLst>
      </c:lineChart>
      <c:catAx>
        <c:axId val="1704688815"/>
        <c:scaling>
          <c:orientation val="minMax"/>
        </c:scaling>
        <c:delete val="1"/>
        <c:axPos val="b"/>
        <c:numFmt formatCode="General" sourceLinked="1"/>
        <c:majorTickMark val="none"/>
        <c:minorTickMark val="none"/>
        <c:tickLblPos val="nextTo"/>
        <c:crossAx val="1704694575"/>
        <c:crosses val="autoZero"/>
        <c:auto val="1"/>
        <c:lblAlgn val="ctr"/>
        <c:lblOffset val="100"/>
        <c:noMultiLvlLbl val="0"/>
      </c:catAx>
      <c:valAx>
        <c:axId val="1704694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688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0" i="0" u="none" strike="noStrike" kern="1200" spc="0" baseline="0">
                <a:solidFill>
                  <a:srgbClr val="000000">
                    <a:lumMod val="65000"/>
                    <a:lumOff val="35000"/>
                  </a:srgbClr>
                </a:solidFill>
              </a:rPr>
              <a:t>% retained - company  size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lotArea>
      <c:layout/>
      <c:lineChart>
        <c:grouping val="standard"/>
        <c:varyColors val="0"/>
        <c:ser>
          <c:idx val="1"/>
          <c:order val="1"/>
          <c:tx>
            <c:strRef>
              <c:f>'Tab 5 - Retention Segmentation'!$A$83:$B$83</c:f>
              <c:strCache>
                <c:ptCount val="2"/>
                <c:pt idx="0">
                  <c:v>Total</c:v>
                </c:pt>
                <c:pt idx="1">
                  <c:v>1,484</c:v>
                </c:pt>
              </c:strCache>
            </c:strRef>
          </c:tx>
          <c:spPr>
            <a:ln w="28575" cap="rnd">
              <a:solidFill>
                <a:schemeClr val="accent2"/>
              </a:solidFill>
              <a:round/>
            </a:ln>
            <a:effectLst/>
          </c:spPr>
          <c:marker>
            <c:symbol val="none"/>
          </c:marker>
          <c:cat>
            <c:multiLvlStrRef>
              <c:f>'Tab 5 - Retention Segmentation'!$C$80:$Q$81</c:f>
              <c:multiLvlStrCache>
                <c:ptCount val="1"/>
                <c:lvl>
                  <c:pt idx="0">
                    <c:v>Number of Weeks</c:v>
                  </c:pt>
                </c:lvl>
                <c:lvl>
                  <c:pt idx="0">
                    <c:v>% of Retained Users - Company Size Segment</c:v>
                  </c:pt>
                </c:lvl>
              </c:multiLvlStrCache>
            </c:multiLvlStrRef>
          </c:cat>
          <c:val>
            <c:numRef>
              <c:f>'Tab 5 - Retention Segmentation'!$C$83:$Q$83</c:f>
              <c:numCache>
                <c:formatCode>0%</c:formatCode>
                <c:ptCount val="15"/>
                <c:pt idx="0">
                  <c:v>0.59</c:v>
                </c:pt>
                <c:pt idx="1">
                  <c:v>0.54</c:v>
                </c:pt>
                <c:pt idx="2">
                  <c:v>0.5</c:v>
                </c:pt>
                <c:pt idx="3">
                  <c:v>0.47</c:v>
                </c:pt>
                <c:pt idx="4">
                  <c:v>0.46</c:v>
                </c:pt>
                <c:pt idx="5">
                  <c:v>0.43</c:v>
                </c:pt>
                <c:pt idx="6">
                  <c:v>0.42</c:v>
                </c:pt>
                <c:pt idx="7">
                  <c:v>0.39</c:v>
                </c:pt>
                <c:pt idx="8">
                  <c:v>0.35</c:v>
                </c:pt>
                <c:pt idx="9">
                  <c:v>0.34</c:v>
                </c:pt>
                <c:pt idx="10">
                  <c:v>0.34</c:v>
                </c:pt>
                <c:pt idx="11">
                  <c:v>0.32</c:v>
                </c:pt>
                <c:pt idx="12">
                  <c:v>0.28999999999999998</c:v>
                </c:pt>
                <c:pt idx="13">
                  <c:v>0.26</c:v>
                </c:pt>
                <c:pt idx="14">
                  <c:v>0.26</c:v>
                </c:pt>
              </c:numCache>
            </c:numRef>
          </c:val>
          <c:smooth val="0"/>
          <c:extLst>
            <c:ext xmlns:c16="http://schemas.microsoft.com/office/drawing/2014/chart" uri="{C3380CC4-5D6E-409C-BE32-E72D297353CC}">
              <c16:uniqueId val="{00000001-2FCF-481B-A954-72EFE3B8C8EB}"/>
            </c:ext>
          </c:extLst>
        </c:ser>
        <c:ser>
          <c:idx val="2"/>
          <c:order val="2"/>
          <c:tx>
            <c:strRef>
              <c:f>'Tab 5 - Retention Segmentation'!$A$84:$B$84</c:f>
              <c:strCache>
                <c:ptCount val="2"/>
                <c:pt idx="0">
                  <c:v>1-5</c:v>
                </c:pt>
                <c:pt idx="1">
                  <c:v>379</c:v>
                </c:pt>
              </c:strCache>
            </c:strRef>
          </c:tx>
          <c:spPr>
            <a:ln w="28575" cap="rnd">
              <a:solidFill>
                <a:schemeClr val="accent3"/>
              </a:solidFill>
              <a:round/>
            </a:ln>
            <a:effectLst/>
          </c:spPr>
          <c:marker>
            <c:symbol val="none"/>
          </c:marker>
          <c:cat>
            <c:multiLvlStrRef>
              <c:f>'Tab 5 - Retention Segmentation'!$C$80:$Q$81</c:f>
              <c:multiLvlStrCache>
                <c:ptCount val="1"/>
                <c:lvl>
                  <c:pt idx="0">
                    <c:v>Number of Weeks</c:v>
                  </c:pt>
                </c:lvl>
                <c:lvl>
                  <c:pt idx="0">
                    <c:v>% of Retained Users - Company Size Segment</c:v>
                  </c:pt>
                </c:lvl>
              </c:multiLvlStrCache>
            </c:multiLvlStrRef>
          </c:cat>
          <c:val>
            <c:numRef>
              <c:f>'Tab 5 - Retention Segmentation'!$C$84:$Q$84</c:f>
              <c:numCache>
                <c:formatCode>0%</c:formatCode>
                <c:ptCount val="15"/>
                <c:pt idx="0">
                  <c:v>0.69</c:v>
                </c:pt>
                <c:pt idx="1">
                  <c:v>0.64</c:v>
                </c:pt>
                <c:pt idx="2">
                  <c:v>0.61</c:v>
                </c:pt>
                <c:pt idx="3">
                  <c:v>0.57999999999999996</c:v>
                </c:pt>
                <c:pt idx="4">
                  <c:v>0.55000000000000004</c:v>
                </c:pt>
                <c:pt idx="5">
                  <c:v>0.5</c:v>
                </c:pt>
                <c:pt idx="6">
                  <c:v>0.47</c:v>
                </c:pt>
                <c:pt idx="7">
                  <c:v>0.44</c:v>
                </c:pt>
                <c:pt idx="8">
                  <c:v>0.42</c:v>
                </c:pt>
                <c:pt idx="9">
                  <c:v>0.4</c:v>
                </c:pt>
                <c:pt idx="10">
                  <c:v>0.38</c:v>
                </c:pt>
                <c:pt idx="11">
                  <c:v>0.36</c:v>
                </c:pt>
                <c:pt idx="12">
                  <c:v>0.34</c:v>
                </c:pt>
                <c:pt idx="13">
                  <c:v>0.33</c:v>
                </c:pt>
                <c:pt idx="14">
                  <c:v>0.31</c:v>
                </c:pt>
              </c:numCache>
            </c:numRef>
          </c:val>
          <c:smooth val="0"/>
          <c:extLst>
            <c:ext xmlns:c16="http://schemas.microsoft.com/office/drawing/2014/chart" uri="{C3380CC4-5D6E-409C-BE32-E72D297353CC}">
              <c16:uniqueId val="{00000002-2FCF-481B-A954-72EFE3B8C8EB}"/>
            </c:ext>
          </c:extLst>
        </c:ser>
        <c:ser>
          <c:idx val="3"/>
          <c:order val="3"/>
          <c:tx>
            <c:strRef>
              <c:f>'Tab 5 - Retention Segmentation'!$A$85:$B$85</c:f>
              <c:strCache>
                <c:ptCount val="2"/>
                <c:pt idx="0">
                  <c:v>6-10</c:v>
                </c:pt>
                <c:pt idx="1">
                  <c:v>280</c:v>
                </c:pt>
              </c:strCache>
            </c:strRef>
          </c:tx>
          <c:spPr>
            <a:ln w="28575" cap="rnd">
              <a:solidFill>
                <a:schemeClr val="accent4"/>
              </a:solidFill>
              <a:round/>
            </a:ln>
            <a:effectLst/>
          </c:spPr>
          <c:marker>
            <c:symbol val="none"/>
          </c:marker>
          <c:cat>
            <c:multiLvlStrRef>
              <c:f>'Tab 5 - Retention Segmentation'!$C$80:$Q$81</c:f>
              <c:multiLvlStrCache>
                <c:ptCount val="1"/>
                <c:lvl>
                  <c:pt idx="0">
                    <c:v>Number of Weeks</c:v>
                  </c:pt>
                </c:lvl>
                <c:lvl>
                  <c:pt idx="0">
                    <c:v>% of Retained Users - Company Size Segment</c:v>
                  </c:pt>
                </c:lvl>
              </c:multiLvlStrCache>
            </c:multiLvlStrRef>
          </c:cat>
          <c:val>
            <c:numRef>
              <c:f>'Tab 5 - Retention Segmentation'!$C$85:$Q$85</c:f>
              <c:numCache>
                <c:formatCode>0%</c:formatCode>
                <c:ptCount val="15"/>
                <c:pt idx="0">
                  <c:v>0.57999999999999996</c:v>
                </c:pt>
                <c:pt idx="1">
                  <c:v>0.55000000000000004</c:v>
                </c:pt>
                <c:pt idx="2">
                  <c:v>0.52</c:v>
                </c:pt>
                <c:pt idx="3">
                  <c:v>0.5</c:v>
                </c:pt>
                <c:pt idx="4">
                  <c:v>0.47</c:v>
                </c:pt>
                <c:pt idx="5">
                  <c:v>0.45</c:v>
                </c:pt>
                <c:pt idx="6">
                  <c:v>0.43</c:v>
                </c:pt>
                <c:pt idx="7">
                  <c:v>0.4</c:v>
                </c:pt>
                <c:pt idx="8">
                  <c:v>0.38</c:v>
                </c:pt>
                <c:pt idx="9">
                  <c:v>0.36</c:v>
                </c:pt>
                <c:pt idx="10">
                  <c:v>0.35</c:v>
                </c:pt>
                <c:pt idx="11">
                  <c:v>0.33</c:v>
                </c:pt>
                <c:pt idx="12">
                  <c:v>0.31</c:v>
                </c:pt>
                <c:pt idx="13">
                  <c:v>0.3</c:v>
                </c:pt>
                <c:pt idx="14">
                  <c:v>0.28000000000000003</c:v>
                </c:pt>
              </c:numCache>
            </c:numRef>
          </c:val>
          <c:smooth val="0"/>
          <c:extLst>
            <c:ext xmlns:c16="http://schemas.microsoft.com/office/drawing/2014/chart" uri="{C3380CC4-5D6E-409C-BE32-E72D297353CC}">
              <c16:uniqueId val="{00000003-2FCF-481B-A954-72EFE3B8C8EB}"/>
            </c:ext>
          </c:extLst>
        </c:ser>
        <c:ser>
          <c:idx val="4"/>
          <c:order val="4"/>
          <c:tx>
            <c:strRef>
              <c:f>'Tab 5 - Retention Segmentation'!$A$86:$B$86</c:f>
              <c:strCache>
                <c:ptCount val="2"/>
                <c:pt idx="0">
                  <c:v>11-20</c:v>
                </c:pt>
                <c:pt idx="1">
                  <c:v>200</c:v>
                </c:pt>
              </c:strCache>
            </c:strRef>
          </c:tx>
          <c:spPr>
            <a:ln w="28575" cap="rnd">
              <a:solidFill>
                <a:schemeClr val="accent5"/>
              </a:solidFill>
              <a:round/>
            </a:ln>
            <a:effectLst/>
          </c:spPr>
          <c:marker>
            <c:symbol val="none"/>
          </c:marker>
          <c:cat>
            <c:multiLvlStrRef>
              <c:f>'Tab 5 - Retention Segmentation'!$C$80:$Q$81</c:f>
              <c:multiLvlStrCache>
                <c:ptCount val="1"/>
                <c:lvl>
                  <c:pt idx="0">
                    <c:v>Number of Weeks</c:v>
                  </c:pt>
                </c:lvl>
                <c:lvl>
                  <c:pt idx="0">
                    <c:v>% of Retained Users - Company Size Segment</c:v>
                  </c:pt>
                </c:lvl>
              </c:multiLvlStrCache>
            </c:multiLvlStrRef>
          </c:cat>
          <c:val>
            <c:numRef>
              <c:f>'Tab 5 - Retention Segmentation'!$C$86:$Q$86</c:f>
              <c:numCache>
                <c:formatCode>0%</c:formatCode>
                <c:ptCount val="15"/>
                <c:pt idx="0">
                  <c:v>0.66</c:v>
                </c:pt>
                <c:pt idx="1">
                  <c:v>0.61</c:v>
                </c:pt>
                <c:pt idx="2">
                  <c:v>0.57999999999999996</c:v>
                </c:pt>
                <c:pt idx="3">
                  <c:v>0.55000000000000004</c:v>
                </c:pt>
                <c:pt idx="4">
                  <c:v>0.52</c:v>
                </c:pt>
                <c:pt idx="5">
                  <c:v>0.49</c:v>
                </c:pt>
                <c:pt idx="6">
                  <c:v>0.47</c:v>
                </c:pt>
                <c:pt idx="7">
                  <c:v>0.45</c:v>
                </c:pt>
                <c:pt idx="8">
                  <c:v>0.42</c:v>
                </c:pt>
                <c:pt idx="9">
                  <c:v>0.4</c:v>
                </c:pt>
                <c:pt idx="10">
                  <c:v>0.38</c:v>
                </c:pt>
                <c:pt idx="11">
                  <c:v>0.36</c:v>
                </c:pt>
                <c:pt idx="12">
                  <c:v>0.35</c:v>
                </c:pt>
                <c:pt idx="13">
                  <c:v>0.33</c:v>
                </c:pt>
                <c:pt idx="14">
                  <c:v>0.31</c:v>
                </c:pt>
              </c:numCache>
            </c:numRef>
          </c:val>
          <c:smooth val="0"/>
          <c:extLst>
            <c:ext xmlns:c16="http://schemas.microsoft.com/office/drawing/2014/chart" uri="{C3380CC4-5D6E-409C-BE32-E72D297353CC}">
              <c16:uniqueId val="{00000004-2FCF-481B-A954-72EFE3B8C8EB}"/>
            </c:ext>
          </c:extLst>
        </c:ser>
        <c:ser>
          <c:idx val="5"/>
          <c:order val="5"/>
          <c:tx>
            <c:strRef>
              <c:f>'Tab 5 - Retention Segmentation'!$A$87:$B$87</c:f>
              <c:strCache>
                <c:ptCount val="2"/>
                <c:pt idx="0">
                  <c:v>21-50</c:v>
                </c:pt>
                <c:pt idx="1">
                  <c:v>175</c:v>
                </c:pt>
              </c:strCache>
            </c:strRef>
          </c:tx>
          <c:spPr>
            <a:ln w="28575" cap="rnd">
              <a:solidFill>
                <a:schemeClr val="accent6"/>
              </a:solidFill>
              <a:round/>
            </a:ln>
            <a:effectLst/>
          </c:spPr>
          <c:marker>
            <c:symbol val="none"/>
          </c:marker>
          <c:cat>
            <c:multiLvlStrRef>
              <c:f>'Tab 5 - Retention Segmentation'!$C$80:$Q$81</c:f>
              <c:multiLvlStrCache>
                <c:ptCount val="1"/>
                <c:lvl>
                  <c:pt idx="0">
                    <c:v>Number of Weeks</c:v>
                  </c:pt>
                </c:lvl>
                <c:lvl>
                  <c:pt idx="0">
                    <c:v>% of Retained Users - Company Size Segment</c:v>
                  </c:pt>
                </c:lvl>
              </c:multiLvlStrCache>
            </c:multiLvlStrRef>
          </c:cat>
          <c:val>
            <c:numRef>
              <c:f>'Tab 5 - Retention Segmentation'!$C$87:$Q$87</c:f>
              <c:numCache>
                <c:formatCode>0%</c:formatCode>
                <c:ptCount val="15"/>
                <c:pt idx="0">
                  <c:v>0.61</c:v>
                </c:pt>
                <c:pt idx="1">
                  <c:v>0.59</c:v>
                </c:pt>
                <c:pt idx="2">
                  <c:v>0.56000000000000005</c:v>
                </c:pt>
                <c:pt idx="3">
                  <c:v>0.53</c:v>
                </c:pt>
                <c:pt idx="4">
                  <c:v>0.5</c:v>
                </c:pt>
                <c:pt idx="5">
                  <c:v>0.48</c:v>
                </c:pt>
                <c:pt idx="6">
                  <c:v>0.45</c:v>
                </c:pt>
                <c:pt idx="7">
                  <c:v>0.43</c:v>
                </c:pt>
                <c:pt idx="8">
                  <c:v>0.41</c:v>
                </c:pt>
                <c:pt idx="9">
                  <c:v>0.39</c:v>
                </c:pt>
                <c:pt idx="10">
                  <c:v>0.37</c:v>
                </c:pt>
                <c:pt idx="11">
                  <c:v>0.35</c:v>
                </c:pt>
                <c:pt idx="12">
                  <c:v>0.33</c:v>
                </c:pt>
                <c:pt idx="13">
                  <c:v>0.32</c:v>
                </c:pt>
                <c:pt idx="14">
                  <c:v>0.3</c:v>
                </c:pt>
              </c:numCache>
            </c:numRef>
          </c:val>
          <c:smooth val="0"/>
          <c:extLst>
            <c:ext xmlns:c16="http://schemas.microsoft.com/office/drawing/2014/chart" uri="{C3380CC4-5D6E-409C-BE32-E72D297353CC}">
              <c16:uniqueId val="{00000005-2FCF-481B-A954-72EFE3B8C8EB}"/>
            </c:ext>
          </c:extLst>
        </c:ser>
        <c:ser>
          <c:idx val="6"/>
          <c:order val="6"/>
          <c:tx>
            <c:strRef>
              <c:f>'Tab 5 - Retention Segmentation'!$A$88:$B$88</c:f>
              <c:strCache>
                <c:ptCount val="2"/>
                <c:pt idx="0">
                  <c:v>51-100</c:v>
                </c:pt>
                <c:pt idx="1">
                  <c:v>120</c:v>
                </c:pt>
              </c:strCache>
            </c:strRef>
          </c:tx>
          <c:spPr>
            <a:ln w="28575" cap="rnd">
              <a:solidFill>
                <a:schemeClr val="accent1">
                  <a:lumMod val="60000"/>
                </a:schemeClr>
              </a:solidFill>
              <a:round/>
            </a:ln>
            <a:effectLst/>
          </c:spPr>
          <c:marker>
            <c:symbol val="none"/>
          </c:marker>
          <c:cat>
            <c:multiLvlStrRef>
              <c:f>'Tab 5 - Retention Segmentation'!$C$80:$Q$81</c:f>
              <c:multiLvlStrCache>
                <c:ptCount val="1"/>
                <c:lvl>
                  <c:pt idx="0">
                    <c:v>Number of Weeks</c:v>
                  </c:pt>
                </c:lvl>
                <c:lvl>
                  <c:pt idx="0">
                    <c:v>% of Retained Users - Company Size Segment</c:v>
                  </c:pt>
                </c:lvl>
              </c:multiLvlStrCache>
            </c:multiLvlStrRef>
          </c:cat>
          <c:val>
            <c:numRef>
              <c:f>'Tab 5 - Retention Segmentation'!$C$88:$Q$88</c:f>
              <c:numCache>
                <c:formatCode>0%</c:formatCode>
                <c:ptCount val="15"/>
                <c:pt idx="0">
                  <c:v>0.6</c:v>
                </c:pt>
                <c:pt idx="1">
                  <c:v>0.56000000000000005</c:v>
                </c:pt>
                <c:pt idx="2">
                  <c:v>0.53</c:v>
                </c:pt>
                <c:pt idx="3">
                  <c:v>0.5</c:v>
                </c:pt>
                <c:pt idx="4">
                  <c:v>0.48</c:v>
                </c:pt>
                <c:pt idx="5">
                  <c:v>0.45</c:v>
                </c:pt>
                <c:pt idx="6">
                  <c:v>0.43</c:v>
                </c:pt>
                <c:pt idx="7">
                  <c:v>0.41</c:v>
                </c:pt>
                <c:pt idx="8">
                  <c:v>0.39</c:v>
                </c:pt>
                <c:pt idx="9">
                  <c:v>0.37</c:v>
                </c:pt>
                <c:pt idx="10">
                  <c:v>0.35</c:v>
                </c:pt>
                <c:pt idx="11">
                  <c:v>0.33</c:v>
                </c:pt>
                <c:pt idx="12">
                  <c:v>0.32</c:v>
                </c:pt>
                <c:pt idx="13">
                  <c:v>0.3</c:v>
                </c:pt>
                <c:pt idx="14">
                  <c:v>0.28999999999999998</c:v>
                </c:pt>
              </c:numCache>
            </c:numRef>
          </c:val>
          <c:smooth val="0"/>
          <c:extLst>
            <c:ext xmlns:c16="http://schemas.microsoft.com/office/drawing/2014/chart" uri="{C3380CC4-5D6E-409C-BE32-E72D297353CC}">
              <c16:uniqueId val="{00000006-2FCF-481B-A954-72EFE3B8C8EB}"/>
            </c:ext>
          </c:extLst>
        </c:ser>
        <c:ser>
          <c:idx val="7"/>
          <c:order val="7"/>
          <c:tx>
            <c:strRef>
              <c:f>'Tab 5 - Retention Segmentation'!$A$89:$B$89</c:f>
              <c:strCache>
                <c:ptCount val="2"/>
                <c:pt idx="0">
                  <c:v>101-250</c:v>
                </c:pt>
                <c:pt idx="1">
                  <c:v>100</c:v>
                </c:pt>
              </c:strCache>
            </c:strRef>
          </c:tx>
          <c:spPr>
            <a:ln w="28575" cap="rnd">
              <a:solidFill>
                <a:schemeClr val="accent2">
                  <a:lumMod val="60000"/>
                </a:schemeClr>
              </a:solidFill>
              <a:round/>
            </a:ln>
            <a:effectLst/>
          </c:spPr>
          <c:marker>
            <c:symbol val="none"/>
          </c:marker>
          <c:cat>
            <c:multiLvlStrRef>
              <c:f>'Tab 5 - Retention Segmentation'!$C$80:$Q$81</c:f>
              <c:multiLvlStrCache>
                <c:ptCount val="1"/>
                <c:lvl>
                  <c:pt idx="0">
                    <c:v>Number of Weeks</c:v>
                  </c:pt>
                </c:lvl>
                <c:lvl>
                  <c:pt idx="0">
                    <c:v>% of Retained Users - Company Size Segment</c:v>
                  </c:pt>
                </c:lvl>
              </c:multiLvlStrCache>
            </c:multiLvlStrRef>
          </c:cat>
          <c:val>
            <c:numRef>
              <c:f>'Tab 5 - Retention Segmentation'!$C$89:$Q$89</c:f>
              <c:numCache>
                <c:formatCode>0%</c:formatCode>
                <c:ptCount val="15"/>
                <c:pt idx="0">
                  <c:v>0.68</c:v>
                </c:pt>
                <c:pt idx="1">
                  <c:v>0.65</c:v>
                </c:pt>
                <c:pt idx="2">
                  <c:v>0.61</c:v>
                </c:pt>
                <c:pt idx="3">
                  <c:v>0.57999999999999996</c:v>
                </c:pt>
                <c:pt idx="4">
                  <c:v>0.55000000000000004</c:v>
                </c:pt>
                <c:pt idx="5">
                  <c:v>0.53</c:v>
                </c:pt>
                <c:pt idx="6">
                  <c:v>0.5</c:v>
                </c:pt>
                <c:pt idx="7">
                  <c:v>0.47</c:v>
                </c:pt>
                <c:pt idx="8">
                  <c:v>0.45</c:v>
                </c:pt>
                <c:pt idx="9">
                  <c:v>0.43</c:v>
                </c:pt>
                <c:pt idx="10">
                  <c:v>0.41</c:v>
                </c:pt>
                <c:pt idx="11">
                  <c:v>0.39</c:v>
                </c:pt>
                <c:pt idx="12">
                  <c:v>0.37</c:v>
                </c:pt>
                <c:pt idx="13">
                  <c:v>0.35</c:v>
                </c:pt>
                <c:pt idx="14">
                  <c:v>0.33</c:v>
                </c:pt>
              </c:numCache>
            </c:numRef>
          </c:val>
          <c:smooth val="0"/>
          <c:extLst>
            <c:ext xmlns:c16="http://schemas.microsoft.com/office/drawing/2014/chart" uri="{C3380CC4-5D6E-409C-BE32-E72D297353CC}">
              <c16:uniqueId val="{00000007-2FCF-481B-A954-72EFE3B8C8EB}"/>
            </c:ext>
          </c:extLst>
        </c:ser>
        <c:ser>
          <c:idx val="8"/>
          <c:order val="8"/>
          <c:tx>
            <c:strRef>
              <c:f>'Tab 5 - Retention Segmentation'!$A$90:$B$90</c:f>
              <c:strCache>
                <c:ptCount val="2"/>
                <c:pt idx="0">
                  <c:v>251-500</c:v>
                </c:pt>
                <c:pt idx="1">
                  <c:v>130</c:v>
                </c:pt>
              </c:strCache>
            </c:strRef>
          </c:tx>
          <c:spPr>
            <a:ln w="28575" cap="rnd">
              <a:solidFill>
                <a:schemeClr val="accent3">
                  <a:lumMod val="60000"/>
                </a:schemeClr>
              </a:solidFill>
              <a:round/>
            </a:ln>
            <a:effectLst/>
          </c:spPr>
          <c:marker>
            <c:symbol val="none"/>
          </c:marker>
          <c:cat>
            <c:multiLvlStrRef>
              <c:f>'Tab 5 - Retention Segmentation'!$C$80:$Q$81</c:f>
              <c:multiLvlStrCache>
                <c:ptCount val="1"/>
                <c:lvl>
                  <c:pt idx="0">
                    <c:v>Number of Weeks</c:v>
                  </c:pt>
                </c:lvl>
                <c:lvl>
                  <c:pt idx="0">
                    <c:v>% of Retained Users - Company Size Segment</c:v>
                  </c:pt>
                </c:lvl>
              </c:multiLvlStrCache>
            </c:multiLvlStrRef>
          </c:cat>
          <c:val>
            <c:numRef>
              <c:f>'Tab 5 - Retention Segmentation'!$C$90:$Q$90</c:f>
              <c:numCache>
                <c:formatCode>0%</c:formatCode>
                <c:ptCount val="15"/>
                <c:pt idx="0">
                  <c:v>0.32</c:v>
                </c:pt>
                <c:pt idx="1">
                  <c:v>0.3</c:v>
                </c:pt>
                <c:pt idx="2">
                  <c:v>0.28999999999999998</c:v>
                </c:pt>
                <c:pt idx="3">
                  <c:v>0.27</c:v>
                </c:pt>
                <c:pt idx="4">
                  <c:v>0.26</c:v>
                </c:pt>
                <c:pt idx="5">
                  <c:v>0.25</c:v>
                </c:pt>
                <c:pt idx="6">
                  <c:v>0.23</c:v>
                </c:pt>
                <c:pt idx="7">
                  <c:v>0.22</c:v>
                </c:pt>
                <c:pt idx="8">
                  <c:v>0.21</c:v>
                </c:pt>
                <c:pt idx="9">
                  <c:v>0.2</c:v>
                </c:pt>
                <c:pt idx="10">
                  <c:v>0.19</c:v>
                </c:pt>
                <c:pt idx="11">
                  <c:v>0.18</c:v>
                </c:pt>
                <c:pt idx="12">
                  <c:v>0.17</c:v>
                </c:pt>
                <c:pt idx="13">
                  <c:v>0.16</c:v>
                </c:pt>
                <c:pt idx="14">
                  <c:v>0.16</c:v>
                </c:pt>
              </c:numCache>
            </c:numRef>
          </c:val>
          <c:smooth val="0"/>
          <c:extLst>
            <c:ext xmlns:c16="http://schemas.microsoft.com/office/drawing/2014/chart" uri="{C3380CC4-5D6E-409C-BE32-E72D297353CC}">
              <c16:uniqueId val="{00000008-2FCF-481B-A954-72EFE3B8C8EB}"/>
            </c:ext>
          </c:extLst>
        </c:ser>
        <c:ser>
          <c:idx val="9"/>
          <c:order val="9"/>
          <c:tx>
            <c:strRef>
              <c:f>'Tab 5 - Retention Segmentation'!$A$91:$B$91</c:f>
              <c:strCache>
                <c:ptCount val="2"/>
                <c:pt idx="0">
                  <c:v>501+</c:v>
                </c:pt>
                <c:pt idx="1">
                  <c:v>100</c:v>
                </c:pt>
              </c:strCache>
            </c:strRef>
          </c:tx>
          <c:spPr>
            <a:ln w="28575" cap="rnd">
              <a:solidFill>
                <a:schemeClr val="accent4">
                  <a:lumMod val="60000"/>
                </a:schemeClr>
              </a:solidFill>
              <a:round/>
            </a:ln>
            <a:effectLst/>
          </c:spPr>
          <c:marker>
            <c:symbol val="none"/>
          </c:marker>
          <c:cat>
            <c:multiLvlStrRef>
              <c:f>'Tab 5 - Retention Segmentation'!$C$80:$Q$81</c:f>
              <c:multiLvlStrCache>
                <c:ptCount val="1"/>
                <c:lvl>
                  <c:pt idx="0">
                    <c:v>Number of Weeks</c:v>
                  </c:pt>
                </c:lvl>
                <c:lvl>
                  <c:pt idx="0">
                    <c:v>% of Retained Users - Company Size Segment</c:v>
                  </c:pt>
                </c:lvl>
              </c:multiLvlStrCache>
            </c:multiLvlStrRef>
          </c:cat>
          <c:val>
            <c:numRef>
              <c:f>'Tab 5 - Retention Segmentation'!$C$91:$Q$91</c:f>
              <c:numCache>
                <c:formatCode>0%</c:formatCode>
                <c:ptCount val="15"/>
                <c:pt idx="0">
                  <c:v>0.17</c:v>
                </c:pt>
                <c:pt idx="1">
                  <c:v>0.16</c:v>
                </c:pt>
                <c:pt idx="2">
                  <c:v>0.16</c:v>
                </c:pt>
                <c:pt idx="3">
                  <c:v>0.15</c:v>
                </c:pt>
                <c:pt idx="4">
                  <c:v>0.14000000000000001</c:v>
                </c:pt>
                <c:pt idx="5">
                  <c:v>0.13</c:v>
                </c:pt>
                <c:pt idx="6">
                  <c:v>0.13</c:v>
                </c:pt>
                <c:pt idx="7">
                  <c:v>0.12</c:v>
                </c:pt>
                <c:pt idx="8">
                  <c:v>0.11</c:v>
                </c:pt>
                <c:pt idx="9">
                  <c:v>0.11</c:v>
                </c:pt>
                <c:pt idx="10">
                  <c:v>0.1</c:v>
                </c:pt>
                <c:pt idx="11">
                  <c:v>0.1</c:v>
                </c:pt>
                <c:pt idx="12">
                  <c:v>0.09</c:v>
                </c:pt>
                <c:pt idx="13">
                  <c:v>0.09</c:v>
                </c:pt>
                <c:pt idx="14">
                  <c:v>0.08</c:v>
                </c:pt>
              </c:numCache>
            </c:numRef>
          </c:val>
          <c:smooth val="0"/>
          <c:extLst>
            <c:ext xmlns:c16="http://schemas.microsoft.com/office/drawing/2014/chart" uri="{C3380CC4-5D6E-409C-BE32-E72D297353CC}">
              <c16:uniqueId val="{00000009-2FCF-481B-A954-72EFE3B8C8EB}"/>
            </c:ext>
          </c:extLst>
        </c:ser>
        <c:ser>
          <c:idx val="10"/>
          <c:order val="10"/>
          <c:tx>
            <c:strRef>
              <c:f>'Tab 5 - Retention Segmentation'!$A$92:$B$92</c:f>
              <c:strCache>
                <c:ptCount val="2"/>
                <c:pt idx="0">
                  <c:v>Average</c:v>
                </c:pt>
              </c:strCache>
            </c:strRef>
          </c:tx>
          <c:spPr>
            <a:ln w="28575" cap="rnd">
              <a:solidFill>
                <a:schemeClr val="accent5">
                  <a:lumMod val="60000"/>
                </a:schemeClr>
              </a:solidFill>
              <a:round/>
            </a:ln>
            <a:effectLst/>
          </c:spPr>
          <c:marker>
            <c:symbol val="none"/>
          </c:marker>
          <c:cat>
            <c:multiLvlStrRef>
              <c:f>'Tab 5 - Retention Segmentation'!$C$80:$Q$81</c:f>
              <c:multiLvlStrCache>
                <c:ptCount val="1"/>
                <c:lvl>
                  <c:pt idx="0">
                    <c:v>Number of Weeks</c:v>
                  </c:pt>
                </c:lvl>
                <c:lvl>
                  <c:pt idx="0">
                    <c:v>% of Retained Users - Company Size Segment</c:v>
                  </c:pt>
                </c:lvl>
              </c:multiLvlStrCache>
            </c:multiLvlStrRef>
          </c:cat>
          <c:val>
            <c:numRef>
              <c:f>'Tab 5 - Retention Segmentation'!$C$92:$Q$92</c:f>
              <c:numCache>
                <c:formatCode>General</c:formatCode>
                <c:ptCount val="15"/>
                <c:pt idx="0">
                  <c:v>0.54</c:v>
                </c:pt>
                <c:pt idx="1">
                  <c:v>0.51</c:v>
                </c:pt>
                <c:pt idx="2">
                  <c:v>0.48</c:v>
                </c:pt>
                <c:pt idx="3">
                  <c:v>0.46</c:v>
                </c:pt>
                <c:pt idx="4">
                  <c:v>0.44</c:v>
                </c:pt>
                <c:pt idx="5">
                  <c:v>0.41</c:v>
                </c:pt>
                <c:pt idx="6">
                  <c:v>0.39</c:v>
                </c:pt>
                <c:pt idx="7">
                  <c:v>0.37</c:v>
                </c:pt>
                <c:pt idx="8">
                  <c:v>0.35</c:v>
                </c:pt>
                <c:pt idx="9">
                  <c:v>0.33</c:v>
                </c:pt>
                <c:pt idx="10">
                  <c:v>0.32</c:v>
                </c:pt>
                <c:pt idx="11">
                  <c:v>0.3</c:v>
                </c:pt>
                <c:pt idx="12">
                  <c:v>0.28999999999999998</c:v>
                </c:pt>
                <c:pt idx="13">
                  <c:v>0.27</c:v>
                </c:pt>
                <c:pt idx="14">
                  <c:v>0.26</c:v>
                </c:pt>
              </c:numCache>
            </c:numRef>
          </c:val>
          <c:smooth val="0"/>
          <c:extLst>
            <c:ext xmlns:c16="http://schemas.microsoft.com/office/drawing/2014/chart" uri="{C3380CC4-5D6E-409C-BE32-E72D297353CC}">
              <c16:uniqueId val="{0000000A-2FCF-481B-A954-72EFE3B8C8EB}"/>
            </c:ext>
          </c:extLst>
        </c:ser>
        <c:dLbls>
          <c:showLegendKey val="0"/>
          <c:showVal val="0"/>
          <c:showCatName val="0"/>
          <c:showSerName val="0"/>
          <c:showPercent val="0"/>
          <c:showBubbleSize val="0"/>
        </c:dLbls>
        <c:smooth val="0"/>
        <c:axId val="1704728655"/>
        <c:axId val="1704730575"/>
        <c:extLst>
          <c:ext xmlns:c15="http://schemas.microsoft.com/office/drawing/2012/chart" uri="{02D57815-91ED-43cb-92C2-25804820EDAC}">
            <c15:filteredLineSeries>
              <c15:ser>
                <c:idx val="0"/>
                <c:order val="0"/>
                <c:tx>
                  <c:strRef>
                    <c:extLst>
                      <c:ext uri="{02D57815-91ED-43cb-92C2-25804820EDAC}">
                        <c15:formulaRef>
                          <c15:sqref>'Tab 5 - Retention Segmentation'!$A$82:$B$82</c15:sqref>
                        </c15:formulaRef>
                      </c:ext>
                    </c:extLst>
                    <c:strCache>
                      <c:ptCount val="2"/>
                      <c:pt idx="0">
                        <c:v>Industry</c:v>
                      </c:pt>
                      <c:pt idx="1">
                        <c:v>New Users Acquired</c:v>
                      </c:pt>
                    </c:strCache>
                  </c:strRef>
                </c:tx>
                <c:spPr>
                  <a:ln w="28575" cap="rnd">
                    <a:solidFill>
                      <a:schemeClr val="accent1"/>
                    </a:solidFill>
                    <a:round/>
                  </a:ln>
                  <a:effectLst/>
                </c:spPr>
                <c:marker>
                  <c:symbol val="none"/>
                </c:marker>
                <c:cat>
                  <c:multiLvlStrRef>
                    <c:extLst>
                      <c:ext uri="{02D57815-91ED-43cb-92C2-25804820EDAC}">
                        <c15:formulaRef>
                          <c15:sqref>'Tab 5 - Retention Segmentation'!$C$80:$Q$81</c15:sqref>
                        </c15:formulaRef>
                      </c:ext>
                    </c:extLst>
                    <c:multiLvlStrCache>
                      <c:ptCount val="1"/>
                      <c:lvl>
                        <c:pt idx="0">
                          <c:v>Number of Weeks</c:v>
                        </c:pt>
                      </c:lvl>
                      <c:lvl>
                        <c:pt idx="0">
                          <c:v>% of Retained Users - Company Size Segment</c:v>
                        </c:pt>
                      </c:lvl>
                    </c:multiLvlStrCache>
                  </c:multiLvlStrRef>
                </c:cat>
                <c:val>
                  <c:numRef>
                    <c:extLst>
                      <c:ext uri="{02D57815-91ED-43cb-92C2-25804820EDAC}">
                        <c15:formulaRef>
                          <c15:sqref>'Tab 5 - Retention Segmentation'!$C$82:$Q$82</c15:sqref>
                        </c15:formulaRef>
                      </c:ext>
                    </c:extLst>
                    <c:numCache>
                      <c:formatCode>General</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val>
                <c:smooth val="0"/>
                <c:extLst>
                  <c:ext xmlns:c16="http://schemas.microsoft.com/office/drawing/2014/chart" uri="{C3380CC4-5D6E-409C-BE32-E72D297353CC}">
                    <c16:uniqueId val="{00000000-2FCF-481B-A954-72EFE3B8C8EB}"/>
                  </c:ext>
                </c:extLst>
              </c15:ser>
            </c15:filteredLineSeries>
          </c:ext>
        </c:extLst>
      </c:lineChart>
      <c:catAx>
        <c:axId val="1704728655"/>
        <c:scaling>
          <c:orientation val="minMax"/>
        </c:scaling>
        <c:delete val="1"/>
        <c:axPos val="b"/>
        <c:numFmt formatCode="General" sourceLinked="1"/>
        <c:majorTickMark val="none"/>
        <c:minorTickMark val="none"/>
        <c:tickLblPos val="nextTo"/>
        <c:crossAx val="1704730575"/>
        <c:crosses val="autoZero"/>
        <c:auto val="1"/>
        <c:lblAlgn val="ctr"/>
        <c:lblOffset val="100"/>
        <c:noMultiLvlLbl val="0"/>
      </c:catAx>
      <c:valAx>
        <c:axId val="1704730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728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retained - account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'Tab 5 - Retention Segmentation'!$A$135:$B$135</c:f>
              <c:strCache>
                <c:ptCount val="2"/>
                <c:pt idx="0">
                  <c:v>Total</c:v>
                </c:pt>
                <c:pt idx="1">
                  <c:v>1,900</c:v>
                </c:pt>
              </c:strCache>
            </c:strRef>
          </c:tx>
          <c:spPr>
            <a:ln w="28575" cap="rnd">
              <a:solidFill>
                <a:schemeClr val="accent2"/>
              </a:solidFill>
              <a:round/>
            </a:ln>
            <a:effectLst/>
          </c:spPr>
          <c:marker>
            <c:symbol val="none"/>
          </c:marker>
          <c:cat>
            <c:multiLvlStrRef>
              <c:f>'Tab 5 - Retention Segmentation'!$C$132:$Q$133</c:f>
              <c:multiLvlStrCache>
                <c:ptCount val="1"/>
                <c:lvl>
                  <c:pt idx="0">
                    <c:v>Number of Weeks</c:v>
                  </c:pt>
                </c:lvl>
                <c:lvl>
                  <c:pt idx="0">
                    <c:v>% of Retained Users - Account Size Segment</c:v>
                  </c:pt>
                </c:lvl>
              </c:multiLvlStrCache>
            </c:multiLvlStrRef>
          </c:cat>
          <c:val>
            <c:numRef>
              <c:f>'Tab 5 - Retention Segmentation'!$C$135:$Q$135</c:f>
              <c:numCache>
                <c:formatCode>0%</c:formatCode>
                <c:ptCount val="15"/>
                <c:pt idx="0">
                  <c:v>0.46</c:v>
                </c:pt>
                <c:pt idx="1">
                  <c:v>0.42</c:v>
                </c:pt>
                <c:pt idx="2">
                  <c:v>0.39</c:v>
                </c:pt>
                <c:pt idx="3">
                  <c:v>0.36</c:v>
                </c:pt>
                <c:pt idx="4">
                  <c:v>0.36</c:v>
                </c:pt>
                <c:pt idx="5">
                  <c:v>0.34</c:v>
                </c:pt>
                <c:pt idx="6">
                  <c:v>0.33</c:v>
                </c:pt>
                <c:pt idx="7">
                  <c:v>0.3</c:v>
                </c:pt>
                <c:pt idx="8">
                  <c:v>0.27</c:v>
                </c:pt>
                <c:pt idx="9">
                  <c:v>0.27</c:v>
                </c:pt>
                <c:pt idx="10">
                  <c:v>0.26</c:v>
                </c:pt>
                <c:pt idx="11">
                  <c:v>0.25</c:v>
                </c:pt>
                <c:pt idx="12">
                  <c:v>0.23</c:v>
                </c:pt>
                <c:pt idx="13">
                  <c:v>0.21</c:v>
                </c:pt>
                <c:pt idx="14">
                  <c:v>0.2</c:v>
                </c:pt>
              </c:numCache>
            </c:numRef>
          </c:val>
          <c:smooth val="0"/>
          <c:extLst>
            <c:ext xmlns:c16="http://schemas.microsoft.com/office/drawing/2014/chart" uri="{C3380CC4-5D6E-409C-BE32-E72D297353CC}">
              <c16:uniqueId val="{00000001-E984-4C25-93B5-AC1FFA6273C3}"/>
            </c:ext>
          </c:extLst>
        </c:ser>
        <c:ser>
          <c:idx val="2"/>
          <c:order val="2"/>
          <c:tx>
            <c:strRef>
              <c:f>'Tab 5 - Retention Segmentation'!$A$136:$B$136</c:f>
              <c:strCache>
                <c:ptCount val="2"/>
                <c:pt idx="0">
                  <c:v>1 - 2</c:v>
                </c:pt>
                <c:pt idx="1">
                  <c:v>500</c:v>
                </c:pt>
              </c:strCache>
            </c:strRef>
          </c:tx>
          <c:spPr>
            <a:ln w="28575" cap="rnd">
              <a:solidFill>
                <a:schemeClr val="accent3"/>
              </a:solidFill>
              <a:round/>
            </a:ln>
            <a:effectLst/>
          </c:spPr>
          <c:marker>
            <c:symbol val="none"/>
          </c:marker>
          <c:cat>
            <c:multiLvlStrRef>
              <c:f>'Tab 5 - Retention Segmentation'!$C$132:$Q$133</c:f>
              <c:multiLvlStrCache>
                <c:ptCount val="1"/>
                <c:lvl>
                  <c:pt idx="0">
                    <c:v>Number of Weeks</c:v>
                  </c:pt>
                </c:lvl>
                <c:lvl>
                  <c:pt idx="0">
                    <c:v>% of Retained Users - Account Size Segment</c:v>
                  </c:pt>
                </c:lvl>
              </c:multiLvlStrCache>
            </c:multiLvlStrRef>
          </c:cat>
          <c:val>
            <c:numRef>
              <c:f>'Tab 5 - Retention Segmentation'!$C$136:$Q$136</c:f>
              <c:numCache>
                <c:formatCode>0%</c:formatCode>
                <c:ptCount val="15"/>
                <c:pt idx="0">
                  <c:v>0.52</c:v>
                </c:pt>
                <c:pt idx="1">
                  <c:v>0.49</c:v>
                </c:pt>
                <c:pt idx="2">
                  <c:v>0.46</c:v>
                </c:pt>
                <c:pt idx="3">
                  <c:v>0.44</c:v>
                </c:pt>
                <c:pt idx="4">
                  <c:v>0.42</c:v>
                </c:pt>
                <c:pt idx="5">
                  <c:v>0.38</c:v>
                </c:pt>
                <c:pt idx="6">
                  <c:v>0.35</c:v>
                </c:pt>
                <c:pt idx="7">
                  <c:v>0.34</c:v>
                </c:pt>
                <c:pt idx="8">
                  <c:v>0.32</c:v>
                </c:pt>
                <c:pt idx="9">
                  <c:v>0.3</c:v>
                </c:pt>
                <c:pt idx="10">
                  <c:v>0.28999999999999998</c:v>
                </c:pt>
                <c:pt idx="11">
                  <c:v>0.27</c:v>
                </c:pt>
                <c:pt idx="12">
                  <c:v>0.26</c:v>
                </c:pt>
                <c:pt idx="13">
                  <c:v>0.25</c:v>
                </c:pt>
                <c:pt idx="14">
                  <c:v>0.23</c:v>
                </c:pt>
              </c:numCache>
            </c:numRef>
          </c:val>
          <c:smooth val="0"/>
          <c:extLst>
            <c:ext xmlns:c16="http://schemas.microsoft.com/office/drawing/2014/chart" uri="{C3380CC4-5D6E-409C-BE32-E72D297353CC}">
              <c16:uniqueId val="{00000002-E984-4C25-93B5-AC1FFA6273C3}"/>
            </c:ext>
          </c:extLst>
        </c:ser>
        <c:ser>
          <c:idx val="3"/>
          <c:order val="3"/>
          <c:tx>
            <c:strRef>
              <c:f>'Tab 5 - Retention Segmentation'!$A$137:$B$137</c:f>
              <c:strCache>
                <c:ptCount val="2"/>
                <c:pt idx="0">
                  <c:v>2 - 5</c:v>
                </c:pt>
                <c:pt idx="1">
                  <c:v>250</c:v>
                </c:pt>
              </c:strCache>
            </c:strRef>
          </c:tx>
          <c:spPr>
            <a:ln w="28575" cap="rnd">
              <a:solidFill>
                <a:schemeClr val="accent4"/>
              </a:solidFill>
              <a:round/>
            </a:ln>
            <a:effectLst/>
          </c:spPr>
          <c:marker>
            <c:symbol val="none"/>
          </c:marker>
          <c:cat>
            <c:multiLvlStrRef>
              <c:f>'Tab 5 - Retention Segmentation'!$C$132:$Q$133</c:f>
              <c:multiLvlStrCache>
                <c:ptCount val="1"/>
                <c:lvl>
                  <c:pt idx="0">
                    <c:v>Number of Weeks</c:v>
                  </c:pt>
                </c:lvl>
                <c:lvl>
                  <c:pt idx="0">
                    <c:v>% of Retained Users - Account Size Segment</c:v>
                  </c:pt>
                </c:lvl>
              </c:multiLvlStrCache>
            </c:multiLvlStrRef>
          </c:cat>
          <c:val>
            <c:numRef>
              <c:f>'Tab 5 - Retention Segmentation'!$C$137:$Q$137</c:f>
              <c:numCache>
                <c:formatCode>0%</c:formatCode>
                <c:ptCount val="15"/>
                <c:pt idx="0">
                  <c:v>0.65</c:v>
                </c:pt>
                <c:pt idx="1">
                  <c:v>0.62</c:v>
                </c:pt>
                <c:pt idx="2">
                  <c:v>0.57999999999999996</c:v>
                </c:pt>
                <c:pt idx="3">
                  <c:v>0.56000000000000005</c:v>
                </c:pt>
                <c:pt idx="4">
                  <c:v>0.53</c:v>
                </c:pt>
                <c:pt idx="5">
                  <c:v>0.5</c:v>
                </c:pt>
                <c:pt idx="6">
                  <c:v>0.48</c:v>
                </c:pt>
                <c:pt idx="7">
                  <c:v>0.45</c:v>
                </c:pt>
                <c:pt idx="8">
                  <c:v>0.43</c:v>
                </c:pt>
                <c:pt idx="9">
                  <c:v>0.41</c:v>
                </c:pt>
                <c:pt idx="10">
                  <c:v>0.39</c:v>
                </c:pt>
                <c:pt idx="11">
                  <c:v>0.37</c:v>
                </c:pt>
                <c:pt idx="12">
                  <c:v>0.35</c:v>
                </c:pt>
                <c:pt idx="13">
                  <c:v>0.33</c:v>
                </c:pt>
                <c:pt idx="14">
                  <c:v>0.32</c:v>
                </c:pt>
              </c:numCache>
            </c:numRef>
          </c:val>
          <c:smooth val="0"/>
          <c:extLst>
            <c:ext xmlns:c16="http://schemas.microsoft.com/office/drawing/2014/chart" uri="{C3380CC4-5D6E-409C-BE32-E72D297353CC}">
              <c16:uniqueId val="{00000003-E984-4C25-93B5-AC1FFA6273C3}"/>
            </c:ext>
          </c:extLst>
        </c:ser>
        <c:ser>
          <c:idx val="4"/>
          <c:order val="4"/>
          <c:tx>
            <c:strRef>
              <c:f>'Tab 5 - Retention Segmentation'!$A$138:$B$138</c:f>
              <c:strCache>
                <c:ptCount val="2"/>
                <c:pt idx="0">
                  <c:v>5 - 10</c:v>
                </c:pt>
                <c:pt idx="1">
                  <c:v>210</c:v>
                </c:pt>
              </c:strCache>
            </c:strRef>
          </c:tx>
          <c:spPr>
            <a:ln w="28575" cap="rnd">
              <a:solidFill>
                <a:schemeClr val="accent5"/>
              </a:solidFill>
              <a:round/>
            </a:ln>
            <a:effectLst/>
          </c:spPr>
          <c:marker>
            <c:symbol val="none"/>
          </c:marker>
          <c:cat>
            <c:multiLvlStrRef>
              <c:f>'Tab 5 - Retention Segmentation'!$C$132:$Q$133</c:f>
              <c:multiLvlStrCache>
                <c:ptCount val="1"/>
                <c:lvl>
                  <c:pt idx="0">
                    <c:v>Number of Weeks</c:v>
                  </c:pt>
                </c:lvl>
                <c:lvl>
                  <c:pt idx="0">
                    <c:v>% of Retained Users - Account Size Segment</c:v>
                  </c:pt>
                </c:lvl>
              </c:multiLvlStrCache>
            </c:multiLvlStrRef>
          </c:cat>
          <c:val>
            <c:numRef>
              <c:f>'Tab 5 - Retention Segmentation'!$C$138:$Q$138</c:f>
              <c:numCache>
                <c:formatCode>0%</c:formatCode>
                <c:ptCount val="15"/>
                <c:pt idx="0">
                  <c:v>0.63</c:v>
                </c:pt>
                <c:pt idx="1">
                  <c:v>0.57999999999999996</c:v>
                </c:pt>
                <c:pt idx="2">
                  <c:v>0.55000000000000004</c:v>
                </c:pt>
                <c:pt idx="3">
                  <c:v>0.52</c:v>
                </c:pt>
                <c:pt idx="4">
                  <c:v>0.5</c:v>
                </c:pt>
                <c:pt idx="5">
                  <c:v>0.47</c:v>
                </c:pt>
                <c:pt idx="6">
                  <c:v>0.45</c:v>
                </c:pt>
                <c:pt idx="7">
                  <c:v>0.43</c:v>
                </c:pt>
                <c:pt idx="8">
                  <c:v>0.4</c:v>
                </c:pt>
                <c:pt idx="9">
                  <c:v>0.38</c:v>
                </c:pt>
                <c:pt idx="10">
                  <c:v>0.36</c:v>
                </c:pt>
                <c:pt idx="11">
                  <c:v>0.35</c:v>
                </c:pt>
                <c:pt idx="12">
                  <c:v>0.33</c:v>
                </c:pt>
                <c:pt idx="13">
                  <c:v>0.31</c:v>
                </c:pt>
                <c:pt idx="14">
                  <c:v>0.3</c:v>
                </c:pt>
              </c:numCache>
            </c:numRef>
          </c:val>
          <c:smooth val="0"/>
          <c:extLst>
            <c:ext xmlns:c16="http://schemas.microsoft.com/office/drawing/2014/chart" uri="{C3380CC4-5D6E-409C-BE32-E72D297353CC}">
              <c16:uniqueId val="{00000004-E984-4C25-93B5-AC1FFA6273C3}"/>
            </c:ext>
          </c:extLst>
        </c:ser>
        <c:ser>
          <c:idx val="5"/>
          <c:order val="5"/>
          <c:tx>
            <c:strRef>
              <c:f>'Tab 5 - Retention Segmentation'!$A$139:$B$139</c:f>
              <c:strCache>
                <c:ptCount val="2"/>
                <c:pt idx="0">
                  <c:v>10 - 20</c:v>
                </c:pt>
                <c:pt idx="1">
                  <c:v>250</c:v>
                </c:pt>
              </c:strCache>
            </c:strRef>
          </c:tx>
          <c:spPr>
            <a:ln w="28575" cap="rnd">
              <a:solidFill>
                <a:schemeClr val="accent6"/>
              </a:solidFill>
              <a:round/>
            </a:ln>
            <a:effectLst/>
          </c:spPr>
          <c:marker>
            <c:symbol val="none"/>
          </c:marker>
          <c:cat>
            <c:multiLvlStrRef>
              <c:f>'Tab 5 - Retention Segmentation'!$C$132:$Q$133</c:f>
              <c:multiLvlStrCache>
                <c:ptCount val="1"/>
                <c:lvl>
                  <c:pt idx="0">
                    <c:v>Number of Weeks</c:v>
                  </c:pt>
                </c:lvl>
                <c:lvl>
                  <c:pt idx="0">
                    <c:v>% of Retained Users - Account Size Segment</c:v>
                  </c:pt>
                </c:lvl>
              </c:multiLvlStrCache>
            </c:multiLvlStrRef>
          </c:cat>
          <c:val>
            <c:numRef>
              <c:f>'Tab 5 - Retention Segmentation'!$C$139:$Q$139</c:f>
              <c:numCache>
                <c:formatCode>0%</c:formatCode>
                <c:ptCount val="15"/>
                <c:pt idx="0">
                  <c:v>0.42</c:v>
                </c:pt>
                <c:pt idx="1">
                  <c:v>0.41</c:v>
                </c:pt>
                <c:pt idx="2">
                  <c:v>0.39</c:v>
                </c:pt>
                <c:pt idx="3">
                  <c:v>0.37</c:v>
                </c:pt>
                <c:pt idx="4">
                  <c:v>0.35</c:v>
                </c:pt>
                <c:pt idx="5">
                  <c:v>0.33</c:v>
                </c:pt>
                <c:pt idx="6">
                  <c:v>0.32</c:v>
                </c:pt>
                <c:pt idx="7">
                  <c:v>0.3</c:v>
                </c:pt>
                <c:pt idx="8">
                  <c:v>0.28999999999999998</c:v>
                </c:pt>
                <c:pt idx="9">
                  <c:v>0.27</c:v>
                </c:pt>
                <c:pt idx="10">
                  <c:v>0.26</c:v>
                </c:pt>
                <c:pt idx="11">
                  <c:v>0.25</c:v>
                </c:pt>
                <c:pt idx="12">
                  <c:v>0.23</c:v>
                </c:pt>
                <c:pt idx="13">
                  <c:v>0.22</c:v>
                </c:pt>
                <c:pt idx="14">
                  <c:v>0.21</c:v>
                </c:pt>
              </c:numCache>
            </c:numRef>
          </c:val>
          <c:smooth val="0"/>
          <c:extLst>
            <c:ext xmlns:c16="http://schemas.microsoft.com/office/drawing/2014/chart" uri="{C3380CC4-5D6E-409C-BE32-E72D297353CC}">
              <c16:uniqueId val="{00000005-E984-4C25-93B5-AC1FFA6273C3}"/>
            </c:ext>
          </c:extLst>
        </c:ser>
        <c:ser>
          <c:idx val="6"/>
          <c:order val="6"/>
          <c:tx>
            <c:strRef>
              <c:f>'Tab 5 - Retention Segmentation'!$A$140:$B$140</c:f>
              <c:strCache>
                <c:ptCount val="2"/>
                <c:pt idx="0">
                  <c:v>20 - 50</c:v>
                </c:pt>
                <c:pt idx="1">
                  <c:v>220</c:v>
                </c:pt>
              </c:strCache>
            </c:strRef>
          </c:tx>
          <c:spPr>
            <a:ln w="28575" cap="rnd">
              <a:solidFill>
                <a:schemeClr val="accent1">
                  <a:lumMod val="60000"/>
                </a:schemeClr>
              </a:solidFill>
              <a:round/>
            </a:ln>
            <a:effectLst/>
          </c:spPr>
          <c:marker>
            <c:symbol val="none"/>
          </c:marker>
          <c:cat>
            <c:multiLvlStrRef>
              <c:f>'Tab 5 - Retention Segmentation'!$C$132:$Q$133</c:f>
              <c:multiLvlStrCache>
                <c:ptCount val="1"/>
                <c:lvl>
                  <c:pt idx="0">
                    <c:v>Number of Weeks</c:v>
                  </c:pt>
                </c:lvl>
                <c:lvl>
                  <c:pt idx="0">
                    <c:v>% of Retained Users - Account Size Segment</c:v>
                  </c:pt>
                </c:lvl>
              </c:multiLvlStrCache>
            </c:multiLvlStrRef>
          </c:cat>
          <c:val>
            <c:numRef>
              <c:f>'Tab 5 - Retention Segmentation'!$C$140:$Q$140</c:f>
              <c:numCache>
                <c:formatCode>0%</c:formatCode>
                <c:ptCount val="15"/>
                <c:pt idx="0">
                  <c:v>0.33</c:v>
                </c:pt>
                <c:pt idx="1">
                  <c:v>0.3</c:v>
                </c:pt>
                <c:pt idx="2">
                  <c:v>0.28999999999999998</c:v>
                </c:pt>
                <c:pt idx="3">
                  <c:v>0.27</c:v>
                </c:pt>
                <c:pt idx="4">
                  <c:v>0.26</c:v>
                </c:pt>
                <c:pt idx="5">
                  <c:v>0.25</c:v>
                </c:pt>
                <c:pt idx="6">
                  <c:v>0.24</c:v>
                </c:pt>
                <c:pt idx="7">
                  <c:v>0.22</c:v>
                </c:pt>
                <c:pt idx="8">
                  <c:v>0.21</c:v>
                </c:pt>
                <c:pt idx="9">
                  <c:v>0.2</c:v>
                </c:pt>
                <c:pt idx="10">
                  <c:v>0.19</c:v>
                </c:pt>
                <c:pt idx="11">
                  <c:v>0.18</c:v>
                </c:pt>
                <c:pt idx="12">
                  <c:v>0.17</c:v>
                </c:pt>
                <c:pt idx="13">
                  <c:v>0.16</c:v>
                </c:pt>
                <c:pt idx="14">
                  <c:v>0.16</c:v>
                </c:pt>
              </c:numCache>
            </c:numRef>
          </c:val>
          <c:smooth val="0"/>
          <c:extLst>
            <c:ext xmlns:c16="http://schemas.microsoft.com/office/drawing/2014/chart" uri="{C3380CC4-5D6E-409C-BE32-E72D297353CC}">
              <c16:uniqueId val="{00000006-E984-4C25-93B5-AC1FFA6273C3}"/>
            </c:ext>
          </c:extLst>
        </c:ser>
        <c:ser>
          <c:idx val="7"/>
          <c:order val="7"/>
          <c:tx>
            <c:strRef>
              <c:f>'Tab 5 - Retention Segmentation'!$A$141:$B$141</c:f>
              <c:strCache>
                <c:ptCount val="2"/>
                <c:pt idx="0">
                  <c:v>50 - 100</c:v>
                </c:pt>
                <c:pt idx="1">
                  <c:v>270</c:v>
                </c:pt>
              </c:strCache>
            </c:strRef>
          </c:tx>
          <c:spPr>
            <a:ln w="28575" cap="rnd">
              <a:solidFill>
                <a:schemeClr val="accent2">
                  <a:lumMod val="60000"/>
                </a:schemeClr>
              </a:solidFill>
              <a:round/>
            </a:ln>
            <a:effectLst/>
          </c:spPr>
          <c:marker>
            <c:symbol val="none"/>
          </c:marker>
          <c:cat>
            <c:multiLvlStrRef>
              <c:f>'Tab 5 - Retention Segmentation'!$C$132:$Q$133</c:f>
              <c:multiLvlStrCache>
                <c:ptCount val="1"/>
                <c:lvl>
                  <c:pt idx="0">
                    <c:v>Number of Weeks</c:v>
                  </c:pt>
                </c:lvl>
                <c:lvl>
                  <c:pt idx="0">
                    <c:v>% of Retained Users - Account Size Segment</c:v>
                  </c:pt>
                </c:lvl>
              </c:multiLvlStrCache>
            </c:multiLvlStrRef>
          </c:cat>
          <c:val>
            <c:numRef>
              <c:f>'Tab 5 - Retention Segmentation'!$C$141:$Q$141</c:f>
              <c:numCache>
                <c:formatCode>0%</c:formatCode>
                <c:ptCount val="15"/>
                <c:pt idx="0">
                  <c:v>0.25</c:v>
                </c:pt>
                <c:pt idx="1">
                  <c:v>0.24</c:v>
                </c:pt>
                <c:pt idx="2">
                  <c:v>0.23</c:v>
                </c:pt>
                <c:pt idx="3">
                  <c:v>0.22</c:v>
                </c:pt>
                <c:pt idx="4">
                  <c:v>0.21</c:v>
                </c:pt>
                <c:pt idx="5">
                  <c:v>0.19</c:v>
                </c:pt>
                <c:pt idx="6">
                  <c:v>0.19</c:v>
                </c:pt>
                <c:pt idx="7">
                  <c:v>0.18</c:v>
                </c:pt>
                <c:pt idx="8">
                  <c:v>0.17</c:v>
                </c:pt>
                <c:pt idx="9">
                  <c:v>0.16</c:v>
                </c:pt>
                <c:pt idx="10">
                  <c:v>0.15</c:v>
                </c:pt>
                <c:pt idx="11">
                  <c:v>0.14000000000000001</c:v>
                </c:pt>
                <c:pt idx="12">
                  <c:v>0.14000000000000001</c:v>
                </c:pt>
                <c:pt idx="13">
                  <c:v>0.13</c:v>
                </c:pt>
                <c:pt idx="14">
                  <c:v>0.12</c:v>
                </c:pt>
              </c:numCache>
            </c:numRef>
          </c:val>
          <c:smooth val="0"/>
          <c:extLst>
            <c:ext xmlns:c16="http://schemas.microsoft.com/office/drawing/2014/chart" uri="{C3380CC4-5D6E-409C-BE32-E72D297353CC}">
              <c16:uniqueId val="{00000007-E984-4C25-93B5-AC1FFA6273C3}"/>
            </c:ext>
          </c:extLst>
        </c:ser>
        <c:ser>
          <c:idx val="8"/>
          <c:order val="8"/>
          <c:tx>
            <c:strRef>
              <c:f>'Tab 5 - Retention Segmentation'!$A$142:$B$142</c:f>
              <c:strCache>
                <c:ptCount val="2"/>
                <c:pt idx="0">
                  <c:v>100+</c:v>
                </c:pt>
                <c:pt idx="1">
                  <c:v>200</c:v>
                </c:pt>
              </c:strCache>
            </c:strRef>
          </c:tx>
          <c:spPr>
            <a:ln w="28575" cap="rnd">
              <a:solidFill>
                <a:schemeClr val="accent3">
                  <a:lumMod val="60000"/>
                </a:schemeClr>
              </a:solidFill>
              <a:round/>
            </a:ln>
            <a:effectLst/>
          </c:spPr>
          <c:marker>
            <c:symbol val="none"/>
          </c:marker>
          <c:cat>
            <c:multiLvlStrRef>
              <c:f>'Tab 5 - Retention Segmentation'!$C$132:$Q$133</c:f>
              <c:multiLvlStrCache>
                <c:ptCount val="1"/>
                <c:lvl>
                  <c:pt idx="0">
                    <c:v>Number of Weeks</c:v>
                  </c:pt>
                </c:lvl>
                <c:lvl>
                  <c:pt idx="0">
                    <c:v>% of Retained Users - Account Size Segment</c:v>
                  </c:pt>
                </c:lvl>
              </c:multiLvlStrCache>
            </c:multiLvlStrRef>
          </c:cat>
          <c:val>
            <c:numRef>
              <c:f>'Tab 5 - Retention Segmentation'!$C$142:$Q$142</c:f>
              <c:numCache>
                <c:formatCode>0%</c:formatCode>
                <c:ptCount val="15"/>
                <c:pt idx="0">
                  <c:v>0.21</c:v>
                </c:pt>
                <c:pt idx="1">
                  <c:v>0.2</c:v>
                </c:pt>
                <c:pt idx="2">
                  <c:v>0.19</c:v>
                </c:pt>
                <c:pt idx="3">
                  <c:v>0.18</c:v>
                </c:pt>
                <c:pt idx="4">
                  <c:v>0.17</c:v>
                </c:pt>
                <c:pt idx="5">
                  <c:v>0.16</c:v>
                </c:pt>
                <c:pt idx="6">
                  <c:v>0.15</c:v>
                </c:pt>
                <c:pt idx="7">
                  <c:v>0.15</c:v>
                </c:pt>
                <c:pt idx="8">
                  <c:v>0.14000000000000001</c:v>
                </c:pt>
                <c:pt idx="9">
                  <c:v>0.13</c:v>
                </c:pt>
                <c:pt idx="10">
                  <c:v>0.12</c:v>
                </c:pt>
                <c:pt idx="11">
                  <c:v>0.12</c:v>
                </c:pt>
                <c:pt idx="12">
                  <c:v>0.11</c:v>
                </c:pt>
                <c:pt idx="13">
                  <c:v>0.11</c:v>
                </c:pt>
                <c:pt idx="14">
                  <c:v>0.1</c:v>
                </c:pt>
              </c:numCache>
            </c:numRef>
          </c:val>
          <c:smooth val="0"/>
          <c:extLst>
            <c:ext xmlns:c16="http://schemas.microsoft.com/office/drawing/2014/chart" uri="{C3380CC4-5D6E-409C-BE32-E72D297353CC}">
              <c16:uniqueId val="{00000008-E984-4C25-93B5-AC1FFA6273C3}"/>
            </c:ext>
          </c:extLst>
        </c:ser>
        <c:ser>
          <c:idx val="9"/>
          <c:order val="9"/>
          <c:tx>
            <c:strRef>
              <c:f>'Tab 5 - Retention Segmentation'!$A$143:$B$143</c:f>
              <c:strCache>
                <c:ptCount val="2"/>
                <c:pt idx="0">
                  <c:v>Average</c:v>
                </c:pt>
              </c:strCache>
            </c:strRef>
          </c:tx>
          <c:spPr>
            <a:ln w="28575" cap="rnd">
              <a:solidFill>
                <a:schemeClr val="accent4">
                  <a:lumMod val="60000"/>
                </a:schemeClr>
              </a:solidFill>
              <a:round/>
            </a:ln>
            <a:effectLst/>
          </c:spPr>
          <c:marker>
            <c:symbol val="none"/>
          </c:marker>
          <c:cat>
            <c:multiLvlStrRef>
              <c:f>'Tab 5 - Retention Segmentation'!$C$132:$Q$133</c:f>
              <c:multiLvlStrCache>
                <c:ptCount val="1"/>
                <c:lvl>
                  <c:pt idx="0">
                    <c:v>Number of Weeks</c:v>
                  </c:pt>
                </c:lvl>
                <c:lvl>
                  <c:pt idx="0">
                    <c:v>% of Retained Users - Account Size Segment</c:v>
                  </c:pt>
                </c:lvl>
              </c:multiLvlStrCache>
            </c:multiLvlStrRef>
          </c:cat>
          <c:val>
            <c:numRef>
              <c:f>'Tab 5 - Retention Segmentation'!$C$143:$Q$143</c:f>
              <c:numCache>
                <c:formatCode>0%</c:formatCode>
                <c:ptCount val="15"/>
                <c:pt idx="0">
                  <c:v>0.43</c:v>
                </c:pt>
                <c:pt idx="1">
                  <c:v>0.41</c:v>
                </c:pt>
                <c:pt idx="2">
                  <c:v>0.39</c:v>
                </c:pt>
                <c:pt idx="3">
                  <c:v>0.36</c:v>
                </c:pt>
                <c:pt idx="4">
                  <c:v>0.35</c:v>
                </c:pt>
                <c:pt idx="5">
                  <c:v>0.33</c:v>
                </c:pt>
                <c:pt idx="6">
                  <c:v>0.31</c:v>
                </c:pt>
                <c:pt idx="7">
                  <c:v>0.3</c:v>
                </c:pt>
                <c:pt idx="8">
                  <c:v>0.28000000000000003</c:v>
                </c:pt>
                <c:pt idx="9">
                  <c:v>0.27</c:v>
                </c:pt>
                <c:pt idx="10">
                  <c:v>0.25</c:v>
                </c:pt>
                <c:pt idx="11">
                  <c:v>0.24</c:v>
                </c:pt>
                <c:pt idx="12">
                  <c:v>0.23</c:v>
                </c:pt>
                <c:pt idx="13">
                  <c:v>0.21</c:v>
                </c:pt>
                <c:pt idx="14">
                  <c:v>0.21</c:v>
                </c:pt>
              </c:numCache>
            </c:numRef>
          </c:val>
          <c:smooth val="0"/>
          <c:extLst>
            <c:ext xmlns:c16="http://schemas.microsoft.com/office/drawing/2014/chart" uri="{C3380CC4-5D6E-409C-BE32-E72D297353CC}">
              <c16:uniqueId val="{00000009-E984-4C25-93B5-AC1FFA6273C3}"/>
            </c:ext>
          </c:extLst>
        </c:ser>
        <c:dLbls>
          <c:showLegendKey val="0"/>
          <c:showVal val="0"/>
          <c:showCatName val="0"/>
          <c:showSerName val="0"/>
          <c:showPercent val="0"/>
          <c:showBubbleSize val="0"/>
        </c:dLbls>
        <c:smooth val="0"/>
        <c:axId val="1704732495"/>
        <c:axId val="1704726735"/>
        <c:extLst>
          <c:ext xmlns:c15="http://schemas.microsoft.com/office/drawing/2012/chart" uri="{02D57815-91ED-43cb-92C2-25804820EDAC}">
            <c15:filteredLineSeries>
              <c15:ser>
                <c:idx val="0"/>
                <c:order val="0"/>
                <c:tx>
                  <c:strRef>
                    <c:extLst>
                      <c:ext uri="{02D57815-91ED-43cb-92C2-25804820EDAC}">
                        <c15:formulaRef>
                          <c15:sqref>'Tab 5 - Retention Segmentation'!$A$134:$B$134</c15:sqref>
                        </c15:formulaRef>
                      </c:ext>
                    </c:extLst>
                    <c:strCache>
                      <c:ptCount val="2"/>
                      <c:pt idx="0">
                        <c:v>Account Size</c:v>
                      </c:pt>
                      <c:pt idx="1">
                        <c:v>New Users</c:v>
                      </c:pt>
                    </c:strCache>
                  </c:strRef>
                </c:tx>
                <c:spPr>
                  <a:ln w="28575" cap="rnd">
                    <a:solidFill>
                      <a:schemeClr val="accent1"/>
                    </a:solidFill>
                    <a:round/>
                  </a:ln>
                  <a:effectLst/>
                </c:spPr>
                <c:marker>
                  <c:symbol val="none"/>
                </c:marker>
                <c:cat>
                  <c:multiLvlStrRef>
                    <c:extLst>
                      <c:ext uri="{02D57815-91ED-43cb-92C2-25804820EDAC}">
                        <c15:formulaRef>
                          <c15:sqref>'Tab 5 - Retention Segmentation'!$C$132:$Q$133</c15:sqref>
                        </c15:formulaRef>
                      </c:ext>
                    </c:extLst>
                    <c:multiLvlStrCache>
                      <c:ptCount val="1"/>
                      <c:lvl>
                        <c:pt idx="0">
                          <c:v>Number of Weeks</c:v>
                        </c:pt>
                      </c:lvl>
                      <c:lvl>
                        <c:pt idx="0">
                          <c:v>% of Retained Users - Account Size Segment</c:v>
                        </c:pt>
                      </c:lvl>
                    </c:multiLvlStrCache>
                  </c:multiLvlStrRef>
                </c:cat>
                <c:val>
                  <c:numRef>
                    <c:extLst>
                      <c:ext uri="{02D57815-91ED-43cb-92C2-25804820EDAC}">
                        <c15:formulaRef>
                          <c15:sqref>'Tab 5 - Retention Segmentation'!$C$134:$Q$134</c15:sqref>
                        </c15:formulaRef>
                      </c:ext>
                    </c:extLst>
                    <c:numCache>
                      <c:formatCode>General</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val>
                <c:smooth val="0"/>
                <c:extLst>
                  <c:ext xmlns:c16="http://schemas.microsoft.com/office/drawing/2014/chart" uri="{C3380CC4-5D6E-409C-BE32-E72D297353CC}">
                    <c16:uniqueId val="{00000000-E984-4C25-93B5-AC1FFA6273C3}"/>
                  </c:ext>
                </c:extLst>
              </c15:ser>
            </c15:filteredLineSeries>
          </c:ext>
        </c:extLst>
      </c:lineChart>
      <c:catAx>
        <c:axId val="1704732495"/>
        <c:scaling>
          <c:orientation val="minMax"/>
        </c:scaling>
        <c:delete val="1"/>
        <c:axPos val="b"/>
        <c:numFmt formatCode="General" sourceLinked="1"/>
        <c:majorTickMark val="none"/>
        <c:minorTickMark val="none"/>
        <c:tickLblPos val="nextTo"/>
        <c:crossAx val="1704726735"/>
        <c:crosses val="autoZero"/>
        <c:auto val="1"/>
        <c:lblAlgn val="ctr"/>
        <c:lblOffset val="100"/>
        <c:noMultiLvlLbl val="0"/>
      </c:catAx>
      <c:valAx>
        <c:axId val="1704726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732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rgbClr val="000000">
                    <a:lumMod val="65000"/>
                    <a:lumOff val="35000"/>
                  </a:srgbClr>
                </a:solidFill>
              </a:rPr>
              <a:t>% retained - lead 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'Tab 5 - Retention Segmentation'!$A$185:$B$185</c:f>
              <c:strCache>
                <c:ptCount val="2"/>
                <c:pt idx="0">
                  <c:v>Total</c:v>
                </c:pt>
                <c:pt idx="1">
                  <c:v>1,490</c:v>
                </c:pt>
              </c:strCache>
            </c:strRef>
          </c:tx>
          <c:spPr>
            <a:ln w="28575" cap="rnd">
              <a:solidFill>
                <a:schemeClr val="accent2"/>
              </a:solidFill>
              <a:round/>
            </a:ln>
            <a:effectLst/>
          </c:spPr>
          <c:marker>
            <c:symbol val="none"/>
          </c:marker>
          <c:cat>
            <c:multiLvlStrRef>
              <c:f>'Tab 5 - Retention Segmentation'!$C$182:$Q$183</c:f>
              <c:multiLvlStrCache>
                <c:ptCount val="1"/>
                <c:lvl>
                  <c:pt idx="0">
                    <c:v>Number of Weeks</c:v>
                  </c:pt>
                </c:lvl>
                <c:lvl>
                  <c:pt idx="0">
                    <c:v>% of Retained Users - Lead Source Segment</c:v>
                  </c:pt>
                </c:lvl>
              </c:multiLvlStrCache>
            </c:multiLvlStrRef>
          </c:cat>
          <c:val>
            <c:numRef>
              <c:f>'Tab 5 - Retention Segmentation'!$C$185:$Q$185</c:f>
              <c:numCache>
                <c:formatCode>0%</c:formatCode>
                <c:ptCount val="15"/>
                <c:pt idx="0">
                  <c:v>0.57999999999999996</c:v>
                </c:pt>
                <c:pt idx="1">
                  <c:v>0.54</c:v>
                </c:pt>
                <c:pt idx="2">
                  <c:v>0.5</c:v>
                </c:pt>
                <c:pt idx="3">
                  <c:v>0.46</c:v>
                </c:pt>
                <c:pt idx="4">
                  <c:v>0.46</c:v>
                </c:pt>
                <c:pt idx="5">
                  <c:v>0.43</c:v>
                </c:pt>
                <c:pt idx="6">
                  <c:v>0.42</c:v>
                </c:pt>
                <c:pt idx="7">
                  <c:v>0.39</c:v>
                </c:pt>
                <c:pt idx="8">
                  <c:v>0.35</c:v>
                </c:pt>
                <c:pt idx="9">
                  <c:v>0.34</c:v>
                </c:pt>
                <c:pt idx="10">
                  <c:v>0.34</c:v>
                </c:pt>
                <c:pt idx="11">
                  <c:v>0.32</c:v>
                </c:pt>
                <c:pt idx="12">
                  <c:v>0.28999999999999998</c:v>
                </c:pt>
                <c:pt idx="13">
                  <c:v>0.26</c:v>
                </c:pt>
                <c:pt idx="14">
                  <c:v>0.26</c:v>
                </c:pt>
              </c:numCache>
            </c:numRef>
          </c:val>
          <c:smooth val="0"/>
          <c:extLst>
            <c:ext xmlns:c16="http://schemas.microsoft.com/office/drawing/2014/chart" uri="{C3380CC4-5D6E-409C-BE32-E72D297353CC}">
              <c16:uniqueId val="{00000001-1707-463A-BC35-267CC9F47D84}"/>
            </c:ext>
          </c:extLst>
        </c:ser>
        <c:ser>
          <c:idx val="2"/>
          <c:order val="2"/>
          <c:tx>
            <c:strRef>
              <c:f>'Tab 5 - Retention Segmentation'!$A$186:$B$186</c:f>
              <c:strCache>
                <c:ptCount val="2"/>
                <c:pt idx="0">
                  <c:v>Pricing Page</c:v>
                </c:pt>
                <c:pt idx="1">
                  <c:v>250</c:v>
                </c:pt>
              </c:strCache>
            </c:strRef>
          </c:tx>
          <c:spPr>
            <a:ln w="28575" cap="rnd">
              <a:solidFill>
                <a:schemeClr val="accent3"/>
              </a:solidFill>
              <a:round/>
            </a:ln>
            <a:effectLst/>
          </c:spPr>
          <c:marker>
            <c:symbol val="none"/>
          </c:marker>
          <c:cat>
            <c:multiLvlStrRef>
              <c:f>'Tab 5 - Retention Segmentation'!$C$182:$Q$183</c:f>
              <c:multiLvlStrCache>
                <c:ptCount val="1"/>
                <c:lvl>
                  <c:pt idx="0">
                    <c:v>Number of Weeks</c:v>
                  </c:pt>
                </c:lvl>
                <c:lvl>
                  <c:pt idx="0">
                    <c:v>% of Retained Users - Lead Source Segment</c:v>
                  </c:pt>
                </c:lvl>
              </c:multiLvlStrCache>
            </c:multiLvlStrRef>
          </c:cat>
          <c:val>
            <c:numRef>
              <c:f>'Tab 5 - Retention Segmentation'!$C$186:$Q$186</c:f>
              <c:numCache>
                <c:formatCode>0%</c:formatCode>
                <c:ptCount val="15"/>
                <c:pt idx="0">
                  <c:v>0.53</c:v>
                </c:pt>
                <c:pt idx="1">
                  <c:v>0.49</c:v>
                </c:pt>
                <c:pt idx="2">
                  <c:v>0.46</c:v>
                </c:pt>
                <c:pt idx="3">
                  <c:v>0.44</c:v>
                </c:pt>
                <c:pt idx="4">
                  <c:v>0.42</c:v>
                </c:pt>
                <c:pt idx="5">
                  <c:v>0.4</c:v>
                </c:pt>
                <c:pt idx="6">
                  <c:v>0.38</c:v>
                </c:pt>
                <c:pt idx="7">
                  <c:v>0.36</c:v>
                </c:pt>
                <c:pt idx="8">
                  <c:v>0.34</c:v>
                </c:pt>
                <c:pt idx="9">
                  <c:v>0.32</c:v>
                </c:pt>
                <c:pt idx="10">
                  <c:v>0.31</c:v>
                </c:pt>
                <c:pt idx="11">
                  <c:v>0.28999999999999998</c:v>
                </c:pt>
                <c:pt idx="12">
                  <c:v>0.28000000000000003</c:v>
                </c:pt>
                <c:pt idx="13">
                  <c:v>0.26</c:v>
                </c:pt>
                <c:pt idx="14">
                  <c:v>0.25</c:v>
                </c:pt>
              </c:numCache>
            </c:numRef>
          </c:val>
          <c:smooth val="0"/>
          <c:extLst>
            <c:ext xmlns:c16="http://schemas.microsoft.com/office/drawing/2014/chart" uri="{C3380CC4-5D6E-409C-BE32-E72D297353CC}">
              <c16:uniqueId val="{00000002-1707-463A-BC35-267CC9F47D84}"/>
            </c:ext>
          </c:extLst>
        </c:ser>
        <c:ser>
          <c:idx val="3"/>
          <c:order val="3"/>
          <c:tx>
            <c:strRef>
              <c:f>'Tab 5 - Retention Segmentation'!$A$187:$B$187</c:f>
              <c:strCache>
                <c:ptCount val="2"/>
                <c:pt idx="0">
                  <c:v>Free Trial Page</c:v>
                </c:pt>
                <c:pt idx="1">
                  <c:v>310</c:v>
                </c:pt>
              </c:strCache>
            </c:strRef>
          </c:tx>
          <c:spPr>
            <a:ln w="28575" cap="rnd">
              <a:solidFill>
                <a:schemeClr val="accent4"/>
              </a:solidFill>
              <a:round/>
            </a:ln>
            <a:effectLst/>
          </c:spPr>
          <c:marker>
            <c:symbol val="none"/>
          </c:marker>
          <c:cat>
            <c:multiLvlStrRef>
              <c:f>'Tab 5 - Retention Segmentation'!$C$182:$Q$183</c:f>
              <c:multiLvlStrCache>
                <c:ptCount val="1"/>
                <c:lvl>
                  <c:pt idx="0">
                    <c:v>Number of Weeks</c:v>
                  </c:pt>
                </c:lvl>
                <c:lvl>
                  <c:pt idx="0">
                    <c:v>% of Retained Users - Lead Source Segment</c:v>
                  </c:pt>
                </c:lvl>
              </c:multiLvlStrCache>
            </c:multiLvlStrRef>
          </c:cat>
          <c:val>
            <c:numRef>
              <c:f>'Tab 5 - Retention Segmentation'!$C$187:$Q$187</c:f>
              <c:numCache>
                <c:formatCode>0%</c:formatCode>
                <c:ptCount val="15"/>
                <c:pt idx="0">
                  <c:v>0.52</c:v>
                </c:pt>
                <c:pt idx="1">
                  <c:v>0.5</c:v>
                </c:pt>
                <c:pt idx="2">
                  <c:v>0.47</c:v>
                </c:pt>
                <c:pt idx="3">
                  <c:v>0.45</c:v>
                </c:pt>
                <c:pt idx="4">
                  <c:v>0.43</c:v>
                </c:pt>
                <c:pt idx="5">
                  <c:v>0.4</c:v>
                </c:pt>
                <c:pt idx="6">
                  <c:v>0.38</c:v>
                </c:pt>
                <c:pt idx="7">
                  <c:v>0.36</c:v>
                </c:pt>
                <c:pt idx="8">
                  <c:v>0.35</c:v>
                </c:pt>
                <c:pt idx="9">
                  <c:v>0.33</c:v>
                </c:pt>
                <c:pt idx="10">
                  <c:v>0.31</c:v>
                </c:pt>
                <c:pt idx="11">
                  <c:v>0.3</c:v>
                </c:pt>
                <c:pt idx="12">
                  <c:v>0.28000000000000003</c:v>
                </c:pt>
                <c:pt idx="13">
                  <c:v>0.27</c:v>
                </c:pt>
                <c:pt idx="14">
                  <c:v>0.25</c:v>
                </c:pt>
              </c:numCache>
            </c:numRef>
          </c:val>
          <c:smooth val="0"/>
          <c:extLst>
            <c:ext xmlns:c16="http://schemas.microsoft.com/office/drawing/2014/chart" uri="{C3380CC4-5D6E-409C-BE32-E72D297353CC}">
              <c16:uniqueId val="{00000003-1707-463A-BC35-267CC9F47D84}"/>
            </c:ext>
          </c:extLst>
        </c:ser>
        <c:ser>
          <c:idx val="4"/>
          <c:order val="4"/>
          <c:tx>
            <c:strRef>
              <c:f>'Tab 5 - Retention Segmentation'!$A$188:$B$188</c:f>
              <c:strCache>
                <c:ptCount val="2"/>
                <c:pt idx="0">
                  <c:v>Referral link</c:v>
                </c:pt>
                <c:pt idx="1">
                  <c:v>390</c:v>
                </c:pt>
              </c:strCache>
            </c:strRef>
          </c:tx>
          <c:spPr>
            <a:ln w="28575" cap="rnd">
              <a:solidFill>
                <a:schemeClr val="accent5"/>
              </a:solidFill>
              <a:round/>
            </a:ln>
            <a:effectLst/>
          </c:spPr>
          <c:marker>
            <c:symbol val="none"/>
          </c:marker>
          <c:cat>
            <c:multiLvlStrRef>
              <c:f>'Tab 5 - Retention Segmentation'!$C$182:$Q$183</c:f>
              <c:multiLvlStrCache>
                <c:ptCount val="1"/>
                <c:lvl>
                  <c:pt idx="0">
                    <c:v>Number of Weeks</c:v>
                  </c:pt>
                </c:lvl>
                <c:lvl>
                  <c:pt idx="0">
                    <c:v>% of Retained Users - Lead Source Segment</c:v>
                  </c:pt>
                </c:lvl>
              </c:multiLvlStrCache>
            </c:multiLvlStrRef>
          </c:cat>
          <c:val>
            <c:numRef>
              <c:f>'Tab 5 - Retention Segmentation'!$C$188:$Q$188</c:f>
              <c:numCache>
                <c:formatCode>0%</c:formatCode>
                <c:ptCount val="15"/>
                <c:pt idx="0">
                  <c:v>0.67</c:v>
                </c:pt>
                <c:pt idx="1">
                  <c:v>0.62</c:v>
                </c:pt>
                <c:pt idx="2">
                  <c:v>0.59</c:v>
                </c:pt>
                <c:pt idx="3">
                  <c:v>0.56000000000000005</c:v>
                </c:pt>
                <c:pt idx="4">
                  <c:v>0.54</c:v>
                </c:pt>
                <c:pt idx="5">
                  <c:v>0.48</c:v>
                </c:pt>
                <c:pt idx="6">
                  <c:v>0.45</c:v>
                </c:pt>
                <c:pt idx="7">
                  <c:v>0.43</c:v>
                </c:pt>
                <c:pt idx="8">
                  <c:v>0.41</c:v>
                </c:pt>
                <c:pt idx="9">
                  <c:v>0.39</c:v>
                </c:pt>
                <c:pt idx="10">
                  <c:v>0.37</c:v>
                </c:pt>
                <c:pt idx="11">
                  <c:v>0.35</c:v>
                </c:pt>
                <c:pt idx="12">
                  <c:v>0.33</c:v>
                </c:pt>
                <c:pt idx="13">
                  <c:v>0.32</c:v>
                </c:pt>
                <c:pt idx="14">
                  <c:v>0.3</c:v>
                </c:pt>
              </c:numCache>
            </c:numRef>
          </c:val>
          <c:smooth val="0"/>
          <c:extLst>
            <c:ext xmlns:c16="http://schemas.microsoft.com/office/drawing/2014/chart" uri="{C3380CC4-5D6E-409C-BE32-E72D297353CC}">
              <c16:uniqueId val="{00000004-1707-463A-BC35-267CC9F47D84}"/>
            </c:ext>
          </c:extLst>
        </c:ser>
        <c:ser>
          <c:idx val="5"/>
          <c:order val="5"/>
          <c:tx>
            <c:strRef>
              <c:f>'Tab 5 - Retention Segmentation'!$A$189:$B$189</c:f>
              <c:strCache>
                <c:ptCount val="2"/>
                <c:pt idx="0">
                  <c:v>Team Invitation</c:v>
                </c:pt>
                <c:pt idx="1">
                  <c:v>430</c:v>
                </c:pt>
              </c:strCache>
            </c:strRef>
          </c:tx>
          <c:spPr>
            <a:ln w="28575" cap="rnd">
              <a:solidFill>
                <a:schemeClr val="accent6"/>
              </a:solidFill>
              <a:round/>
            </a:ln>
            <a:effectLst/>
          </c:spPr>
          <c:marker>
            <c:symbol val="none"/>
          </c:marker>
          <c:cat>
            <c:multiLvlStrRef>
              <c:f>'Tab 5 - Retention Segmentation'!$C$182:$Q$183</c:f>
              <c:multiLvlStrCache>
                <c:ptCount val="1"/>
                <c:lvl>
                  <c:pt idx="0">
                    <c:v>Number of Weeks</c:v>
                  </c:pt>
                </c:lvl>
                <c:lvl>
                  <c:pt idx="0">
                    <c:v>% of Retained Users - Lead Source Segment</c:v>
                  </c:pt>
                </c:lvl>
              </c:multiLvlStrCache>
            </c:multiLvlStrRef>
          </c:cat>
          <c:val>
            <c:numRef>
              <c:f>'Tab 5 - Retention Segmentation'!$C$189:$Q$189</c:f>
              <c:numCache>
                <c:formatCode>0%</c:formatCode>
                <c:ptCount val="15"/>
                <c:pt idx="0">
                  <c:v>0.65</c:v>
                </c:pt>
                <c:pt idx="1">
                  <c:v>0.61</c:v>
                </c:pt>
                <c:pt idx="2">
                  <c:v>0.57999999999999996</c:v>
                </c:pt>
                <c:pt idx="3">
                  <c:v>0.55000000000000004</c:v>
                </c:pt>
                <c:pt idx="4">
                  <c:v>0.52</c:v>
                </c:pt>
                <c:pt idx="5">
                  <c:v>0.5</c:v>
                </c:pt>
                <c:pt idx="6">
                  <c:v>0.47</c:v>
                </c:pt>
                <c:pt idx="7">
                  <c:v>0.45</c:v>
                </c:pt>
                <c:pt idx="8">
                  <c:v>0.43</c:v>
                </c:pt>
                <c:pt idx="9">
                  <c:v>0.4</c:v>
                </c:pt>
                <c:pt idx="10">
                  <c:v>0.38</c:v>
                </c:pt>
                <c:pt idx="11">
                  <c:v>0.36</c:v>
                </c:pt>
                <c:pt idx="12">
                  <c:v>0.35</c:v>
                </c:pt>
                <c:pt idx="13">
                  <c:v>0.33</c:v>
                </c:pt>
                <c:pt idx="14">
                  <c:v>0.31</c:v>
                </c:pt>
              </c:numCache>
            </c:numRef>
          </c:val>
          <c:smooth val="0"/>
          <c:extLst>
            <c:ext xmlns:c16="http://schemas.microsoft.com/office/drawing/2014/chart" uri="{C3380CC4-5D6E-409C-BE32-E72D297353CC}">
              <c16:uniqueId val="{00000005-1707-463A-BC35-267CC9F47D84}"/>
            </c:ext>
          </c:extLst>
        </c:ser>
        <c:ser>
          <c:idx val="6"/>
          <c:order val="6"/>
          <c:tx>
            <c:strRef>
              <c:f>'Tab 5 - Retention Segmentation'!$A$190:$B$190</c:f>
              <c:strCache>
                <c:ptCount val="2"/>
                <c:pt idx="0">
                  <c:v>Blog Page</c:v>
                </c:pt>
                <c:pt idx="1">
                  <c:v>110</c:v>
                </c:pt>
              </c:strCache>
            </c:strRef>
          </c:tx>
          <c:spPr>
            <a:ln w="28575" cap="rnd">
              <a:solidFill>
                <a:schemeClr val="accent1">
                  <a:lumMod val="60000"/>
                </a:schemeClr>
              </a:solidFill>
              <a:round/>
            </a:ln>
            <a:effectLst/>
          </c:spPr>
          <c:marker>
            <c:symbol val="none"/>
          </c:marker>
          <c:cat>
            <c:multiLvlStrRef>
              <c:f>'Tab 5 - Retention Segmentation'!$C$182:$Q$183</c:f>
              <c:multiLvlStrCache>
                <c:ptCount val="1"/>
                <c:lvl>
                  <c:pt idx="0">
                    <c:v>Number of Weeks</c:v>
                  </c:pt>
                </c:lvl>
                <c:lvl>
                  <c:pt idx="0">
                    <c:v>% of Retained Users - Lead Source Segment</c:v>
                  </c:pt>
                </c:lvl>
              </c:multiLvlStrCache>
            </c:multiLvlStrRef>
          </c:cat>
          <c:val>
            <c:numRef>
              <c:f>'Tab 5 - Retention Segmentation'!$C$190:$Q$190</c:f>
              <c:numCache>
                <c:formatCode>0%</c:formatCode>
                <c:ptCount val="15"/>
                <c:pt idx="0">
                  <c:v>0.25</c:v>
                </c:pt>
                <c:pt idx="1">
                  <c:v>0.24</c:v>
                </c:pt>
                <c:pt idx="2">
                  <c:v>0.23</c:v>
                </c:pt>
                <c:pt idx="3">
                  <c:v>0.22</c:v>
                </c:pt>
                <c:pt idx="4">
                  <c:v>0.21</c:v>
                </c:pt>
                <c:pt idx="5">
                  <c:v>0.19</c:v>
                </c:pt>
                <c:pt idx="6">
                  <c:v>0.19</c:v>
                </c:pt>
                <c:pt idx="7">
                  <c:v>0.18</c:v>
                </c:pt>
                <c:pt idx="8">
                  <c:v>0.17</c:v>
                </c:pt>
                <c:pt idx="9">
                  <c:v>0.16</c:v>
                </c:pt>
                <c:pt idx="10">
                  <c:v>0.15</c:v>
                </c:pt>
                <c:pt idx="11">
                  <c:v>0.14000000000000001</c:v>
                </c:pt>
                <c:pt idx="12">
                  <c:v>0.14000000000000001</c:v>
                </c:pt>
                <c:pt idx="13">
                  <c:v>0.13</c:v>
                </c:pt>
                <c:pt idx="14">
                  <c:v>0.12</c:v>
                </c:pt>
              </c:numCache>
            </c:numRef>
          </c:val>
          <c:smooth val="0"/>
          <c:extLst>
            <c:ext xmlns:c16="http://schemas.microsoft.com/office/drawing/2014/chart" uri="{C3380CC4-5D6E-409C-BE32-E72D297353CC}">
              <c16:uniqueId val="{00000006-1707-463A-BC35-267CC9F47D84}"/>
            </c:ext>
          </c:extLst>
        </c:ser>
        <c:ser>
          <c:idx val="7"/>
          <c:order val="7"/>
          <c:tx>
            <c:strRef>
              <c:f>'Tab 5 - Retention Segmentation'!$A$191:$B$191</c:f>
              <c:strCache>
                <c:ptCount val="2"/>
                <c:pt idx="0">
                  <c:v>Average</c:v>
                </c:pt>
              </c:strCache>
            </c:strRef>
          </c:tx>
          <c:spPr>
            <a:ln w="28575" cap="rnd">
              <a:solidFill>
                <a:schemeClr val="accent2">
                  <a:lumMod val="60000"/>
                </a:schemeClr>
              </a:solidFill>
              <a:round/>
            </a:ln>
            <a:effectLst/>
          </c:spPr>
          <c:marker>
            <c:symbol val="none"/>
          </c:marker>
          <c:cat>
            <c:multiLvlStrRef>
              <c:f>'Tab 5 - Retention Segmentation'!$C$182:$Q$183</c:f>
              <c:multiLvlStrCache>
                <c:ptCount val="1"/>
                <c:lvl>
                  <c:pt idx="0">
                    <c:v>Number of Weeks</c:v>
                  </c:pt>
                </c:lvl>
                <c:lvl>
                  <c:pt idx="0">
                    <c:v>% of Retained Users - Lead Source Segment</c:v>
                  </c:pt>
                </c:lvl>
              </c:multiLvlStrCache>
            </c:multiLvlStrRef>
          </c:cat>
          <c:val>
            <c:numRef>
              <c:f>'Tab 5 - Retention Segmentation'!$C$191:$Q$191</c:f>
              <c:numCache>
                <c:formatCode>0%</c:formatCode>
                <c:ptCount val="15"/>
                <c:pt idx="0">
                  <c:v>0.53</c:v>
                </c:pt>
                <c:pt idx="1">
                  <c:v>0.5</c:v>
                </c:pt>
                <c:pt idx="2">
                  <c:v>0.47</c:v>
                </c:pt>
                <c:pt idx="3">
                  <c:v>0.45</c:v>
                </c:pt>
                <c:pt idx="4">
                  <c:v>0.43</c:v>
                </c:pt>
                <c:pt idx="5">
                  <c:v>0.4</c:v>
                </c:pt>
                <c:pt idx="6">
                  <c:v>0.38</c:v>
                </c:pt>
                <c:pt idx="7">
                  <c:v>0.36</c:v>
                </c:pt>
                <c:pt idx="8">
                  <c:v>0.34</c:v>
                </c:pt>
                <c:pt idx="9">
                  <c:v>0.32</c:v>
                </c:pt>
                <c:pt idx="10">
                  <c:v>0.31</c:v>
                </c:pt>
                <c:pt idx="11">
                  <c:v>0.28999999999999998</c:v>
                </c:pt>
                <c:pt idx="12">
                  <c:v>0.28000000000000003</c:v>
                </c:pt>
                <c:pt idx="13">
                  <c:v>0.26</c:v>
                </c:pt>
                <c:pt idx="14">
                  <c:v>0.25</c:v>
                </c:pt>
              </c:numCache>
            </c:numRef>
          </c:val>
          <c:smooth val="0"/>
          <c:extLst>
            <c:ext xmlns:c16="http://schemas.microsoft.com/office/drawing/2014/chart" uri="{C3380CC4-5D6E-409C-BE32-E72D297353CC}">
              <c16:uniqueId val="{00000007-1707-463A-BC35-267CC9F47D84}"/>
            </c:ext>
          </c:extLst>
        </c:ser>
        <c:dLbls>
          <c:showLegendKey val="0"/>
          <c:showVal val="0"/>
          <c:showCatName val="0"/>
          <c:showSerName val="0"/>
          <c:showPercent val="0"/>
          <c:showBubbleSize val="0"/>
        </c:dLbls>
        <c:smooth val="0"/>
        <c:axId val="1704714735"/>
        <c:axId val="1704715215"/>
        <c:extLst>
          <c:ext xmlns:c15="http://schemas.microsoft.com/office/drawing/2012/chart" uri="{02D57815-91ED-43cb-92C2-25804820EDAC}">
            <c15:filteredLineSeries>
              <c15:ser>
                <c:idx val="0"/>
                <c:order val="0"/>
                <c:tx>
                  <c:strRef>
                    <c:extLst>
                      <c:ext uri="{02D57815-91ED-43cb-92C2-25804820EDAC}">
                        <c15:formulaRef>
                          <c15:sqref>'Tab 5 - Retention Segmentation'!$A$184:$B$184</c15:sqref>
                        </c15:formulaRef>
                      </c:ext>
                    </c:extLst>
                    <c:strCache>
                      <c:ptCount val="2"/>
                      <c:pt idx="0">
                        <c:v>Source</c:v>
                      </c:pt>
                      <c:pt idx="1">
                        <c:v>New Users</c:v>
                      </c:pt>
                    </c:strCache>
                  </c:strRef>
                </c:tx>
                <c:spPr>
                  <a:ln w="28575" cap="rnd">
                    <a:solidFill>
                      <a:schemeClr val="accent1"/>
                    </a:solidFill>
                    <a:round/>
                  </a:ln>
                  <a:effectLst/>
                </c:spPr>
                <c:marker>
                  <c:symbol val="none"/>
                </c:marker>
                <c:cat>
                  <c:multiLvlStrRef>
                    <c:extLst>
                      <c:ext uri="{02D57815-91ED-43cb-92C2-25804820EDAC}">
                        <c15:formulaRef>
                          <c15:sqref>'Tab 5 - Retention Segmentation'!$C$182:$Q$183</c15:sqref>
                        </c15:formulaRef>
                      </c:ext>
                    </c:extLst>
                    <c:multiLvlStrCache>
                      <c:ptCount val="1"/>
                      <c:lvl>
                        <c:pt idx="0">
                          <c:v>Number of Weeks</c:v>
                        </c:pt>
                      </c:lvl>
                      <c:lvl>
                        <c:pt idx="0">
                          <c:v>% of Retained Users - Lead Source Segment</c:v>
                        </c:pt>
                      </c:lvl>
                    </c:multiLvlStrCache>
                  </c:multiLvlStrRef>
                </c:cat>
                <c:val>
                  <c:numRef>
                    <c:extLst>
                      <c:ext uri="{02D57815-91ED-43cb-92C2-25804820EDAC}">
                        <c15:formulaRef>
                          <c15:sqref>'Tab 5 - Retention Segmentation'!$C$184:$Q$184</c15:sqref>
                        </c15:formulaRef>
                      </c:ext>
                    </c:extLst>
                    <c:numCache>
                      <c:formatCode>General</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val>
                <c:smooth val="0"/>
                <c:extLst>
                  <c:ext xmlns:c16="http://schemas.microsoft.com/office/drawing/2014/chart" uri="{C3380CC4-5D6E-409C-BE32-E72D297353CC}">
                    <c16:uniqueId val="{00000000-1707-463A-BC35-267CC9F47D84}"/>
                  </c:ext>
                </c:extLst>
              </c15:ser>
            </c15:filteredLineSeries>
          </c:ext>
        </c:extLst>
      </c:lineChart>
      <c:catAx>
        <c:axId val="1704714735"/>
        <c:scaling>
          <c:orientation val="minMax"/>
        </c:scaling>
        <c:delete val="1"/>
        <c:axPos val="b"/>
        <c:numFmt formatCode="General" sourceLinked="1"/>
        <c:majorTickMark val="none"/>
        <c:minorTickMark val="none"/>
        <c:tickLblPos val="nextTo"/>
        <c:crossAx val="1704715215"/>
        <c:crosses val="autoZero"/>
        <c:auto val="1"/>
        <c:lblAlgn val="ctr"/>
        <c:lblOffset val="100"/>
        <c:noMultiLvlLbl val="0"/>
      </c:catAx>
      <c:valAx>
        <c:axId val="1704715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714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stacked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'Tab 6 - Lifecycle Chart'!$A$44</c:f>
              <c:strCache>
                <c:ptCount val="1"/>
                <c:pt idx="0">
                  <c:v>June 1</c:v>
                </c:pt>
              </c:strCache>
            </c:strRef>
          </c:tx>
          <c:spPr>
            <a:solidFill>
              <a:schemeClr val="accent1"/>
            </a:solidFill>
            <a:ln>
              <a:noFill/>
            </a:ln>
            <a:effectLst/>
          </c:spPr>
          <c:invertIfNegative val="0"/>
          <c:cat>
            <c:strRef>
              <c:f>'Tab 6 - Lifecycle Chart'!$B$43:$G$43</c:f>
              <c:strCache>
                <c:ptCount val="6"/>
                <c:pt idx="0">
                  <c:v># of New Users</c:v>
                </c:pt>
                <c:pt idx="1">
                  <c:v>Retained + Resurrected Users</c:v>
                </c:pt>
                <c:pt idx="2">
                  <c:v>Dormant Uses</c:v>
                </c:pt>
                <c:pt idx="3">
                  <c:v>Weekly Active Users</c:v>
                </c:pt>
                <c:pt idx="4">
                  <c:v>Retained Users</c:v>
                </c:pt>
                <c:pt idx="5">
                  <c:v>Resurrected Users</c:v>
                </c:pt>
              </c:strCache>
            </c:strRef>
          </c:cat>
          <c:val>
            <c:numRef>
              <c:f>'Tab 6 - Lifecycle Chart'!$B$44:$G$44</c:f>
              <c:numCache>
                <c:formatCode>General</c:formatCode>
                <c:ptCount val="6"/>
                <c:pt idx="0">
                  <c:v>240</c:v>
                </c:pt>
                <c:pt idx="1">
                  <c:v>237</c:v>
                </c:pt>
                <c:pt idx="2">
                  <c:v>3</c:v>
                </c:pt>
                <c:pt idx="3">
                  <c:v>474</c:v>
                </c:pt>
                <c:pt idx="4" formatCode="0">
                  <c:v>229.89</c:v>
                </c:pt>
                <c:pt idx="5" formatCode="0">
                  <c:v>7</c:v>
                </c:pt>
              </c:numCache>
            </c:numRef>
          </c:val>
          <c:extLst>
            <c:ext xmlns:c16="http://schemas.microsoft.com/office/drawing/2014/chart" uri="{C3380CC4-5D6E-409C-BE32-E72D297353CC}">
              <c16:uniqueId val="{00000000-9C4A-4A08-A1DF-279519B49893}"/>
            </c:ext>
          </c:extLst>
        </c:ser>
        <c:ser>
          <c:idx val="1"/>
          <c:order val="1"/>
          <c:tx>
            <c:strRef>
              <c:f>'Tab 6 - Lifecycle Chart'!$A$45</c:f>
              <c:strCache>
                <c:ptCount val="1"/>
                <c:pt idx="0">
                  <c:v>June 7</c:v>
                </c:pt>
              </c:strCache>
            </c:strRef>
          </c:tx>
          <c:spPr>
            <a:solidFill>
              <a:schemeClr val="accent2"/>
            </a:solidFill>
            <a:ln>
              <a:noFill/>
            </a:ln>
            <a:effectLst/>
          </c:spPr>
          <c:invertIfNegative val="0"/>
          <c:cat>
            <c:strRef>
              <c:f>'Tab 6 - Lifecycle Chart'!$B$43:$G$43</c:f>
              <c:strCache>
                <c:ptCount val="6"/>
                <c:pt idx="0">
                  <c:v># of New Users</c:v>
                </c:pt>
                <c:pt idx="1">
                  <c:v>Retained + Resurrected Users</c:v>
                </c:pt>
                <c:pt idx="2">
                  <c:v>Dormant Uses</c:v>
                </c:pt>
                <c:pt idx="3">
                  <c:v>Weekly Active Users</c:v>
                </c:pt>
                <c:pt idx="4">
                  <c:v>Retained Users</c:v>
                </c:pt>
                <c:pt idx="5">
                  <c:v>Resurrected Users</c:v>
                </c:pt>
              </c:strCache>
            </c:strRef>
          </c:cat>
          <c:val>
            <c:numRef>
              <c:f>'Tab 6 - Lifecycle Chart'!$B$45:$G$45</c:f>
              <c:numCache>
                <c:formatCode>0</c:formatCode>
                <c:ptCount val="6"/>
                <c:pt idx="0" formatCode="General">
                  <c:v>324</c:v>
                </c:pt>
                <c:pt idx="1">
                  <c:v>486</c:v>
                </c:pt>
                <c:pt idx="2">
                  <c:v>75</c:v>
                </c:pt>
                <c:pt idx="3">
                  <c:v>735</c:v>
                </c:pt>
                <c:pt idx="4">
                  <c:v>471.41999999999996</c:v>
                </c:pt>
                <c:pt idx="5">
                  <c:v>14.580000000000041</c:v>
                </c:pt>
              </c:numCache>
            </c:numRef>
          </c:val>
          <c:extLst>
            <c:ext xmlns:c16="http://schemas.microsoft.com/office/drawing/2014/chart" uri="{C3380CC4-5D6E-409C-BE32-E72D297353CC}">
              <c16:uniqueId val="{00000001-9C4A-4A08-A1DF-279519B49893}"/>
            </c:ext>
          </c:extLst>
        </c:ser>
        <c:ser>
          <c:idx val="2"/>
          <c:order val="2"/>
          <c:tx>
            <c:strRef>
              <c:f>'Tab 6 - Lifecycle Chart'!$A$46</c:f>
              <c:strCache>
                <c:ptCount val="1"/>
                <c:pt idx="0">
                  <c:v>June 14</c:v>
                </c:pt>
              </c:strCache>
            </c:strRef>
          </c:tx>
          <c:spPr>
            <a:solidFill>
              <a:schemeClr val="accent3"/>
            </a:solidFill>
            <a:ln>
              <a:noFill/>
            </a:ln>
            <a:effectLst/>
          </c:spPr>
          <c:invertIfNegative val="0"/>
          <c:cat>
            <c:strRef>
              <c:f>'Tab 6 - Lifecycle Chart'!$B$43:$G$43</c:f>
              <c:strCache>
                <c:ptCount val="6"/>
                <c:pt idx="0">
                  <c:v># of New Users</c:v>
                </c:pt>
                <c:pt idx="1">
                  <c:v>Retained + Resurrected Users</c:v>
                </c:pt>
                <c:pt idx="2">
                  <c:v>Dormant Uses</c:v>
                </c:pt>
                <c:pt idx="3">
                  <c:v>Weekly Active Users</c:v>
                </c:pt>
                <c:pt idx="4">
                  <c:v>Retained Users</c:v>
                </c:pt>
                <c:pt idx="5">
                  <c:v>Resurrected Users</c:v>
                </c:pt>
              </c:strCache>
            </c:strRef>
          </c:cat>
          <c:val>
            <c:numRef>
              <c:f>'Tab 6 - Lifecycle Chart'!$B$46:$G$46</c:f>
              <c:numCache>
                <c:formatCode>0</c:formatCode>
                <c:ptCount val="6"/>
                <c:pt idx="0" formatCode="General">
                  <c:v>425</c:v>
                </c:pt>
                <c:pt idx="1">
                  <c:v>814</c:v>
                </c:pt>
                <c:pt idx="2">
                  <c:v>97</c:v>
                </c:pt>
                <c:pt idx="3">
                  <c:v>1142</c:v>
                </c:pt>
                <c:pt idx="4">
                  <c:v>789.57999999999993</c:v>
                </c:pt>
                <c:pt idx="5">
                  <c:v>24</c:v>
                </c:pt>
              </c:numCache>
            </c:numRef>
          </c:val>
          <c:extLst>
            <c:ext xmlns:c16="http://schemas.microsoft.com/office/drawing/2014/chart" uri="{C3380CC4-5D6E-409C-BE32-E72D297353CC}">
              <c16:uniqueId val="{00000002-9C4A-4A08-A1DF-279519B49893}"/>
            </c:ext>
          </c:extLst>
        </c:ser>
        <c:ser>
          <c:idx val="3"/>
          <c:order val="3"/>
          <c:tx>
            <c:strRef>
              <c:f>'Tab 6 - Lifecycle Chart'!$A$47</c:f>
              <c:strCache>
                <c:ptCount val="1"/>
                <c:pt idx="0">
                  <c:v>June 21</c:v>
                </c:pt>
              </c:strCache>
            </c:strRef>
          </c:tx>
          <c:spPr>
            <a:solidFill>
              <a:schemeClr val="accent4"/>
            </a:solidFill>
            <a:ln>
              <a:noFill/>
            </a:ln>
            <a:effectLst/>
          </c:spPr>
          <c:invertIfNegative val="0"/>
          <c:cat>
            <c:strRef>
              <c:f>'Tab 6 - Lifecycle Chart'!$B$43:$G$43</c:f>
              <c:strCache>
                <c:ptCount val="6"/>
                <c:pt idx="0">
                  <c:v># of New Users</c:v>
                </c:pt>
                <c:pt idx="1">
                  <c:v>Retained + Resurrected Users</c:v>
                </c:pt>
                <c:pt idx="2">
                  <c:v>Dormant Uses</c:v>
                </c:pt>
                <c:pt idx="3">
                  <c:v>Weekly Active Users</c:v>
                </c:pt>
                <c:pt idx="4">
                  <c:v>Retained Users</c:v>
                </c:pt>
                <c:pt idx="5">
                  <c:v>Resurrected Users</c:v>
                </c:pt>
              </c:strCache>
            </c:strRef>
          </c:cat>
          <c:val>
            <c:numRef>
              <c:f>'Tab 6 - Lifecycle Chart'!$B$47:$G$47</c:f>
              <c:numCache>
                <c:formatCode>0</c:formatCode>
                <c:ptCount val="6"/>
                <c:pt idx="0" formatCode="General">
                  <c:v>634</c:v>
                </c:pt>
                <c:pt idx="1">
                  <c:v>1308</c:v>
                </c:pt>
                <c:pt idx="2">
                  <c:v>140</c:v>
                </c:pt>
                <c:pt idx="3">
                  <c:v>1802</c:v>
                </c:pt>
                <c:pt idx="4">
                  <c:v>1268.76</c:v>
                </c:pt>
                <c:pt idx="5">
                  <c:v>39</c:v>
                </c:pt>
              </c:numCache>
            </c:numRef>
          </c:val>
          <c:extLst>
            <c:ext xmlns:c16="http://schemas.microsoft.com/office/drawing/2014/chart" uri="{C3380CC4-5D6E-409C-BE32-E72D297353CC}">
              <c16:uniqueId val="{00000003-9C4A-4A08-A1DF-279519B49893}"/>
            </c:ext>
          </c:extLst>
        </c:ser>
        <c:ser>
          <c:idx val="4"/>
          <c:order val="4"/>
          <c:tx>
            <c:strRef>
              <c:f>'Tab 6 - Lifecycle Chart'!$A$48</c:f>
              <c:strCache>
                <c:ptCount val="1"/>
                <c:pt idx="0">
                  <c:v>June 28</c:v>
                </c:pt>
              </c:strCache>
            </c:strRef>
          </c:tx>
          <c:spPr>
            <a:solidFill>
              <a:schemeClr val="accent5"/>
            </a:solidFill>
            <a:ln>
              <a:noFill/>
            </a:ln>
            <a:effectLst/>
          </c:spPr>
          <c:invertIfNegative val="0"/>
          <c:cat>
            <c:strRef>
              <c:f>'Tab 6 - Lifecycle Chart'!$B$43:$G$43</c:f>
              <c:strCache>
                <c:ptCount val="6"/>
                <c:pt idx="0">
                  <c:v># of New Users</c:v>
                </c:pt>
                <c:pt idx="1">
                  <c:v>Retained + Resurrected Users</c:v>
                </c:pt>
                <c:pt idx="2">
                  <c:v>Dormant Uses</c:v>
                </c:pt>
                <c:pt idx="3">
                  <c:v>Weekly Active Users</c:v>
                </c:pt>
                <c:pt idx="4">
                  <c:v>Retained Users</c:v>
                </c:pt>
                <c:pt idx="5">
                  <c:v>Resurrected Users</c:v>
                </c:pt>
              </c:strCache>
            </c:strRef>
          </c:cat>
          <c:val>
            <c:numRef>
              <c:f>'Tab 6 - Lifecycle Chart'!$B$48:$G$48</c:f>
              <c:numCache>
                <c:formatCode>0</c:formatCode>
                <c:ptCount val="6"/>
                <c:pt idx="0" formatCode="General">
                  <c:v>796</c:v>
                </c:pt>
                <c:pt idx="1">
                  <c:v>1891</c:v>
                </c:pt>
                <c:pt idx="2">
                  <c:v>213</c:v>
                </c:pt>
                <c:pt idx="3">
                  <c:v>2474</c:v>
                </c:pt>
                <c:pt idx="4">
                  <c:v>1834.27</c:v>
                </c:pt>
                <c:pt idx="5">
                  <c:v>57</c:v>
                </c:pt>
              </c:numCache>
            </c:numRef>
          </c:val>
          <c:extLst>
            <c:ext xmlns:c16="http://schemas.microsoft.com/office/drawing/2014/chart" uri="{C3380CC4-5D6E-409C-BE32-E72D297353CC}">
              <c16:uniqueId val="{00000004-9C4A-4A08-A1DF-279519B49893}"/>
            </c:ext>
          </c:extLst>
        </c:ser>
        <c:ser>
          <c:idx val="5"/>
          <c:order val="5"/>
          <c:tx>
            <c:strRef>
              <c:f>'Tab 6 - Lifecycle Chart'!$A$49</c:f>
              <c:strCache>
                <c:ptCount val="1"/>
                <c:pt idx="0">
                  <c:v>July 5</c:v>
                </c:pt>
              </c:strCache>
            </c:strRef>
          </c:tx>
          <c:spPr>
            <a:solidFill>
              <a:schemeClr val="accent6"/>
            </a:solidFill>
            <a:ln>
              <a:noFill/>
            </a:ln>
            <a:effectLst/>
          </c:spPr>
          <c:invertIfNegative val="0"/>
          <c:cat>
            <c:strRef>
              <c:f>'Tab 6 - Lifecycle Chart'!$B$43:$G$43</c:f>
              <c:strCache>
                <c:ptCount val="6"/>
                <c:pt idx="0">
                  <c:v># of New Users</c:v>
                </c:pt>
                <c:pt idx="1">
                  <c:v>Retained + Resurrected Users</c:v>
                </c:pt>
                <c:pt idx="2">
                  <c:v>Dormant Uses</c:v>
                </c:pt>
                <c:pt idx="3">
                  <c:v>Weekly Active Users</c:v>
                </c:pt>
                <c:pt idx="4">
                  <c:v>Retained Users</c:v>
                </c:pt>
                <c:pt idx="5">
                  <c:v>Resurrected Users</c:v>
                </c:pt>
              </c:strCache>
            </c:strRef>
          </c:cat>
          <c:val>
            <c:numRef>
              <c:f>'Tab 6 - Lifecycle Chart'!$B$49:$G$49</c:f>
              <c:numCache>
                <c:formatCode>0</c:formatCode>
                <c:ptCount val="6"/>
                <c:pt idx="0" formatCode="General">
                  <c:v>918</c:v>
                </c:pt>
                <c:pt idx="1">
                  <c:v>2539</c:v>
                </c:pt>
                <c:pt idx="2">
                  <c:v>270</c:v>
                </c:pt>
                <c:pt idx="3">
                  <c:v>3187</c:v>
                </c:pt>
                <c:pt idx="4">
                  <c:v>2462.83</c:v>
                </c:pt>
                <c:pt idx="5">
                  <c:v>76</c:v>
                </c:pt>
              </c:numCache>
            </c:numRef>
          </c:val>
          <c:extLst>
            <c:ext xmlns:c16="http://schemas.microsoft.com/office/drawing/2014/chart" uri="{C3380CC4-5D6E-409C-BE32-E72D297353CC}">
              <c16:uniqueId val="{00000005-9C4A-4A08-A1DF-279519B49893}"/>
            </c:ext>
          </c:extLst>
        </c:ser>
        <c:ser>
          <c:idx val="6"/>
          <c:order val="6"/>
          <c:tx>
            <c:strRef>
              <c:f>'Tab 6 - Lifecycle Chart'!$A$50</c:f>
              <c:strCache>
                <c:ptCount val="1"/>
                <c:pt idx="0">
                  <c:v>July 12</c:v>
                </c:pt>
              </c:strCache>
            </c:strRef>
          </c:tx>
          <c:spPr>
            <a:solidFill>
              <a:schemeClr val="accent1">
                <a:lumMod val="60000"/>
              </a:schemeClr>
            </a:solidFill>
            <a:ln>
              <a:noFill/>
            </a:ln>
            <a:effectLst/>
          </c:spPr>
          <c:invertIfNegative val="0"/>
          <c:cat>
            <c:strRef>
              <c:f>'Tab 6 - Lifecycle Chart'!$B$43:$G$43</c:f>
              <c:strCache>
                <c:ptCount val="6"/>
                <c:pt idx="0">
                  <c:v># of New Users</c:v>
                </c:pt>
                <c:pt idx="1">
                  <c:v>Retained + Resurrected Users</c:v>
                </c:pt>
                <c:pt idx="2">
                  <c:v>Dormant Uses</c:v>
                </c:pt>
                <c:pt idx="3">
                  <c:v>Weekly Active Users</c:v>
                </c:pt>
                <c:pt idx="4">
                  <c:v>Retained Users</c:v>
                </c:pt>
                <c:pt idx="5">
                  <c:v>Resurrected Users</c:v>
                </c:pt>
              </c:strCache>
            </c:strRef>
          </c:cat>
          <c:val>
            <c:numRef>
              <c:f>'Tab 6 - Lifecycle Chart'!$B$50:$G$50</c:f>
              <c:numCache>
                <c:formatCode>0</c:formatCode>
                <c:ptCount val="6"/>
                <c:pt idx="0" formatCode="General">
                  <c:v>1129</c:v>
                </c:pt>
                <c:pt idx="1">
                  <c:v>3334</c:v>
                </c:pt>
                <c:pt idx="2">
                  <c:v>335</c:v>
                </c:pt>
                <c:pt idx="3">
                  <c:v>4128</c:v>
                </c:pt>
                <c:pt idx="4">
                  <c:v>3233.98</c:v>
                </c:pt>
                <c:pt idx="5">
                  <c:v>100</c:v>
                </c:pt>
              </c:numCache>
            </c:numRef>
          </c:val>
          <c:extLst>
            <c:ext xmlns:c16="http://schemas.microsoft.com/office/drawing/2014/chart" uri="{C3380CC4-5D6E-409C-BE32-E72D297353CC}">
              <c16:uniqueId val="{00000006-9C4A-4A08-A1DF-279519B49893}"/>
            </c:ext>
          </c:extLst>
        </c:ser>
        <c:ser>
          <c:idx val="7"/>
          <c:order val="7"/>
          <c:tx>
            <c:strRef>
              <c:f>'Tab 6 - Lifecycle Chart'!$A$51</c:f>
              <c:strCache>
                <c:ptCount val="1"/>
                <c:pt idx="0">
                  <c:v>July 19</c:v>
                </c:pt>
              </c:strCache>
            </c:strRef>
          </c:tx>
          <c:spPr>
            <a:solidFill>
              <a:schemeClr val="accent2">
                <a:lumMod val="60000"/>
              </a:schemeClr>
            </a:solidFill>
            <a:ln>
              <a:noFill/>
            </a:ln>
            <a:effectLst/>
          </c:spPr>
          <c:invertIfNegative val="0"/>
          <c:cat>
            <c:strRef>
              <c:f>'Tab 6 - Lifecycle Chart'!$B$43:$G$43</c:f>
              <c:strCache>
                <c:ptCount val="6"/>
                <c:pt idx="0">
                  <c:v># of New Users</c:v>
                </c:pt>
                <c:pt idx="1">
                  <c:v>Retained + Resurrected Users</c:v>
                </c:pt>
                <c:pt idx="2">
                  <c:v>Dormant Uses</c:v>
                </c:pt>
                <c:pt idx="3">
                  <c:v>Weekly Active Users</c:v>
                </c:pt>
                <c:pt idx="4">
                  <c:v>Retained Users</c:v>
                </c:pt>
                <c:pt idx="5">
                  <c:v>Resurrected Users</c:v>
                </c:pt>
              </c:strCache>
            </c:strRef>
          </c:cat>
          <c:val>
            <c:numRef>
              <c:f>'Tab 6 - Lifecycle Chart'!$B$51:$G$51</c:f>
              <c:numCache>
                <c:formatCode>0</c:formatCode>
                <c:ptCount val="6"/>
                <c:pt idx="0" formatCode="General">
                  <c:v>1298</c:v>
                </c:pt>
                <c:pt idx="1">
                  <c:v>4172</c:v>
                </c:pt>
                <c:pt idx="2">
                  <c:v>460</c:v>
                </c:pt>
                <c:pt idx="3">
                  <c:v>5010</c:v>
                </c:pt>
                <c:pt idx="4">
                  <c:v>4046.8399999999997</c:v>
                </c:pt>
                <c:pt idx="5">
                  <c:v>125</c:v>
                </c:pt>
              </c:numCache>
            </c:numRef>
          </c:val>
          <c:extLst>
            <c:ext xmlns:c16="http://schemas.microsoft.com/office/drawing/2014/chart" uri="{C3380CC4-5D6E-409C-BE32-E72D297353CC}">
              <c16:uniqueId val="{00000007-9C4A-4A08-A1DF-279519B49893}"/>
            </c:ext>
          </c:extLst>
        </c:ser>
        <c:ser>
          <c:idx val="8"/>
          <c:order val="8"/>
          <c:tx>
            <c:strRef>
              <c:f>'Tab 6 - Lifecycle Chart'!$A$52</c:f>
              <c:strCache>
                <c:ptCount val="1"/>
                <c:pt idx="0">
                  <c:v>July 26</c:v>
                </c:pt>
              </c:strCache>
            </c:strRef>
          </c:tx>
          <c:spPr>
            <a:solidFill>
              <a:schemeClr val="accent3">
                <a:lumMod val="60000"/>
              </a:schemeClr>
            </a:solidFill>
            <a:ln>
              <a:noFill/>
            </a:ln>
            <a:effectLst/>
          </c:spPr>
          <c:invertIfNegative val="0"/>
          <c:cat>
            <c:strRef>
              <c:f>'Tab 6 - Lifecycle Chart'!$B$43:$G$43</c:f>
              <c:strCache>
                <c:ptCount val="6"/>
                <c:pt idx="0">
                  <c:v># of New Users</c:v>
                </c:pt>
                <c:pt idx="1">
                  <c:v>Retained + Resurrected Users</c:v>
                </c:pt>
                <c:pt idx="2">
                  <c:v>Dormant Uses</c:v>
                </c:pt>
                <c:pt idx="3">
                  <c:v>Weekly Active Users</c:v>
                </c:pt>
                <c:pt idx="4">
                  <c:v>Retained Users</c:v>
                </c:pt>
                <c:pt idx="5">
                  <c:v>Resurrected Users</c:v>
                </c:pt>
              </c:strCache>
            </c:strRef>
          </c:cat>
          <c:val>
            <c:numRef>
              <c:f>'Tab 6 - Lifecycle Chart'!$B$52:$G$52</c:f>
              <c:numCache>
                <c:formatCode>0</c:formatCode>
                <c:ptCount val="6"/>
                <c:pt idx="0" formatCode="General">
                  <c:v>1420</c:v>
                </c:pt>
                <c:pt idx="1">
                  <c:v>5099</c:v>
                </c:pt>
                <c:pt idx="2">
                  <c:v>493</c:v>
                </c:pt>
                <c:pt idx="3">
                  <c:v>6026</c:v>
                </c:pt>
                <c:pt idx="4">
                  <c:v>4946.03</c:v>
                </c:pt>
                <c:pt idx="5">
                  <c:v>153</c:v>
                </c:pt>
              </c:numCache>
            </c:numRef>
          </c:val>
          <c:extLst>
            <c:ext xmlns:c16="http://schemas.microsoft.com/office/drawing/2014/chart" uri="{C3380CC4-5D6E-409C-BE32-E72D297353CC}">
              <c16:uniqueId val="{00000008-9C4A-4A08-A1DF-279519B49893}"/>
            </c:ext>
          </c:extLst>
        </c:ser>
        <c:ser>
          <c:idx val="9"/>
          <c:order val="9"/>
          <c:tx>
            <c:strRef>
              <c:f>'Tab 6 - Lifecycle Chart'!$A$53</c:f>
              <c:strCache>
                <c:ptCount val="1"/>
                <c:pt idx="0">
                  <c:v>August 3</c:v>
                </c:pt>
              </c:strCache>
            </c:strRef>
          </c:tx>
          <c:spPr>
            <a:solidFill>
              <a:schemeClr val="accent4">
                <a:lumMod val="60000"/>
              </a:schemeClr>
            </a:solidFill>
            <a:ln>
              <a:noFill/>
            </a:ln>
            <a:effectLst/>
          </c:spPr>
          <c:invertIfNegative val="0"/>
          <c:cat>
            <c:strRef>
              <c:f>'Tab 6 - Lifecycle Chart'!$B$43:$G$43</c:f>
              <c:strCache>
                <c:ptCount val="6"/>
                <c:pt idx="0">
                  <c:v># of New Users</c:v>
                </c:pt>
                <c:pt idx="1">
                  <c:v>Retained + Resurrected Users</c:v>
                </c:pt>
                <c:pt idx="2">
                  <c:v>Dormant Uses</c:v>
                </c:pt>
                <c:pt idx="3">
                  <c:v>Weekly Active Users</c:v>
                </c:pt>
                <c:pt idx="4">
                  <c:v>Retained Users</c:v>
                </c:pt>
                <c:pt idx="5">
                  <c:v>Resurrected Users</c:v>
                </c:pt>
              </c:strCache>
            </c:strRef>
          </c:cat>
          <c:val>
            <c:numRef>
              <c:f>'Tab 6 - Lifecycle Chart'!$B$53:$G$53</c:f>
              <c:numCache>
                <c:formatCode>0</c:formatCode>
                <c:ptCount val="6"/>
                <c:pt idx="0" formatCode="General">
                  <c:v>1670</c:v>
                </c:pt>
                <c:pt idx="1">
                  <c:v>6181</c:v>
                </c:pt>
                <c:pt idx="2">
                  <c:v>588</c:v>
                </c:pt>
                <c:pt idx="3">
                  <c:v>7263</c:v>
                </c:pt>
                <c:pt idx="4">
                  <c:v>5995.57</c:v>
                </c:pt>
                <c:pt idx="5">
                  <c:v>185</c:v>
                </c:pt>
              </c:numCache>
            </c:numRef>
          </c:val>
          <c:extLst>
            <c:ext xmlns:c16="http://schemas.microsoft.com/office/drawing/2014/chart" uri="{C3380CC4-5D6E-409C-BE32-E72D297353CC}">
              <c16:uniqueId val="{00000009-9C4A-4A08-A1DF-279519B49893}"/>
            </c:ext>
          </c:extLst>
        </c:ser>
        <c:ser>
          <c:idx val="10"/>
          <c:order val="10"/>
          <c:tx>
            <c:strRef>
              <c:f>'Tab 6 - Lifecycle Chart'!$A$54</c:f>
              <c:strCache>
                <c:ptCount val="1"/>
                <c:pt idx="0">
                  <c:v>August 10</c:v>
                </c:pt>
              </c:strCache>
            </c:strRef>
          </c:tx>
          <c:spPr>
            <a:solidFill>
              <a:schemeClr val="accent5">
                <a:lumMod val="60000"/>
              </a:schemeClr>
            </a:solidFill>
            <a:ln>
              <a:noFill/>
            </a:ln>
            <a:effectLst/>
          </c:spPr>
          <c:invertIfNegative val="0"/>
          <c:cat>
            <c:strRef>
              <c:f>'Tab 6 - Lifecycle Chart'!$B$43:$G$43</c:f>
              <c:strCache>
                <c:ptCount val="6"/>
                <c:pt idx="0">
                  <c:v># of New Users</c:v>
                </c:pt>
                <c:pt idx="1">
                  <c:v>Retained + Resurrected Users</c:v>
                </c:pt>
                <c:pt idx="2">
                  <c:v>Dormant Uses</c:v>
                </c:pt>
                <c:pt idx="3">
                  <c:v>Weekly Active Users</c:v>
                </c:pt>
                <c:pt idx="4">
                  <c:v>Retained Users</c:v>
                </c:pt>
                <c:pt idx="5">
                  <c:v>Resurrected Users</c:v>
                </c:pt>
              </c:strCache>
            </c:strRef>
          </c:cat>
          <c:val>
            <c:numRef>
              <c:f>'Tab 6 - Lifecycle Chart'!$B$54:$G$54</c:f>
              <c:numCache>
                <c:formatCode>0</c:formatCode>
                <c:ptCount val="6"/>
                <c:pt idx="0" formatCode="General">
                  <c:v>1820</c:v>
                </c:pt>
                <c:pt idx="1">
                  <c:v>7264</c:v>
                </c:pt>
                <c:pt idx="2">
                  <c:v>736</c:v>
                </c:pt>
                <c:pt idx="3">
                  <c:v>8348</c:v>
                </c:pt>
                <c:pt idx="4">
                  <c:v>7046.08</c:v>
                </c:pt>
                <c:pt idx="5">
                  <c:v>218</c:v>
                </c:pt>
              </c:numCache>
            </c:numRef>
          </c:val>
          <c:extLst>
            <c:ext xmlns:c16="http://schemas.microsoft.com/office/drawing/2014/chart" uri="{C3380CC4-5D6E-409C-BE32-E72D297353CC}">
              <c16:uniqueId val="{0000000A-9C4A-4A08-A1DF-279519B49893}"/>
            </c:ext>
          </c:extLst>
        </c:ser>
        <c:dLbls>
          <c:showLegendKey val="0"/>
          <c:showVal val="0"/>
          <c:showCatName val="0"/>
          <c:showSerName val="0"/>
          <c:showPercent val="0"/>
          <c:showBubbleSize val="0"/>
        </c:dLbls>
        <c:gapWidth val="150"/>
        <c:overlap val="100"/>
        <c:axId val="1704729135"/>
        <c:axId val="1704735855"/>
      </c:barChart>
      <c:catAx>
        <c:axId val="170472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735855"/>
        <c:crosses val="autoZero"/>
        <c:auto val="1"/>
        <c:lblAlgn val="ctr"/>
        <c:lblOffset val="100"/>
        <c:noMultiLvlLbl val="0"/>
      </c:catAx>
      <c:valAx>
        <c:axId val="170473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729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0</xdr:col>
      <xdr:colOff>962025</xdr:colOff>
      <xdr:row>8</xdr:row>
      <xdr:rowOff>190500</xdr:rowOff>
    </xdr:from>
    <xdr:ext cx="5734050" cy="344805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twoCellAnchor>
    <xdr:from>
      <xdr:col>1</xdr:col>
      <xdr:colOff>7620</xdr:colOff>
      <xdr:row>39</xdr:row>
      <xdr:rowOff>190500</xdr:rowOff>
    </xdr:from>
    <xdr:to>
      <xdr:col>9</xdr:col>
      <xdr:colOff>716280</xdr:colOff>
      <xdr:row>60</xdr:row>
      <xdr:rowOff>144780</xdr:rowOff>
    </xdr:to>
    <xdr:graphicFrame macro="">
      <xdr:nvGraphicFramePr>
        <xdr:cNvPr id="2" name="Chart 1">
          <a:extLst>
            <a:ext uri="{FF2B5EF4-FFF2-40B4-BE49-F238E27FC236}">
              <a16:creationId xmlns:a16="http://schemas.microsoft.com/office/drawing/2014/main" id="{E7A0A42A-1137-9460-44C2-7A0DEE8FE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1043940</xdr:colOff>
      <xdr:row>93</xdr:row>
      <xdr:rowOff>190500</xdr:rowOff>
    </xdr:from>
    <xdr:to>
      <xdr:col>9</xdr:col>
      <xdr:colOff>845820</xdr:colOff>
      <xdr:row>114</xdr:row>
      <xdr:rowOff>137160</xdr:rowOff>
    </xdr:to>
    <xdr:graphicFrame macro="">
      <xdr:nvGraphicFramePr>
        <xdr:cNvPr id="3" name="Chart 2">
          <a:extLst>
            <a:ext uri="{FF2B5EF4-FFF2-40B4-BE49-F238E27FC236}">
              <a16:creationId xmlns:a16="http://schemas.microsoft.com/office/drawing/2014/main" id="{E8E8AFB6-DF6C-95A8-B06E-EB0F62FAE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144</xdr:row>
      <xdr:rowOff>190500</xdr:rowOff>
    </xdr:from>
    <xdr:to>
      <xdr:col>9</xdr:col>
      <xdr:colOff>838200</xdr:colOff>
      <xdr:row>165</xdr:row>
      <xdr:rowOff>137160</xdr:rowOff>
    </xdr:to>
    <xdr:graphicFrame macro="">
      <xdr:nvGraphicFramePr>
        <xdr:cNvPr id="4" name="Chart 3">
          <a:extLst>
            <a:ext uri="{FF2B5EF4-FFF2-40B4-BE49-F238E27FC236}">
              <a16:creationId xmlns:a16="http://schemas.microsoft.com/office/drawing/2014/main" id="{CAAA3773-7816-5592-6728-2F635B155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68580</xdr:colOff>
      <xdr:row>193</xdr:row>
      <xdr:rowOff>7620</xdr:rowOff>
    </xdr:from>
    <xdr:to>
      <xdr:col>9</xdr:col>
      <xdr:colOff>861060</xdr:colOff>
      <xdr:row>213</xdr:row>
      <xdr:rowOff>121920</xdr:rowOff>
    </xdr:to>
    <xdr:graphicFrame macro="">
      <xdr:nvGraphicFramePr>
        <xdr:cNvPr id="5" name="Chart 4">
          <a:extLst>
            <a:ext uri="{FF2B5EF4-FFF2-40B4-BE49-F238E27FC236}">
              <a16:creationId xmlns:a16="http://schemas.microsoft.com/office/drawing/2014/main" id="{719F4268-0BCB-183B-8448-32B42FDAF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22860</xdr:colOff>
      <xdr:row>55</xdr:row>
      <xdr:rowOff>38100</xdr:rowOff>
    </xdr:from>
    <xdr:to>
      <xdr:col>5</xdr:col>
      <xdr:colOff>937260</xdr:colOff>
      <xdr:row>73</xdr:row>
      <xdr:rowOff>137160</xdr:rowOff>
    </xdr:to>
    <xdr:graphicFrame macro="">
      <xdr:nvGraphicFramePr>
        <xdr:cNvPr id="2" name="Chart 1">
          <a:extLst>
            <a:ext uri="{FF2B5EF4-FFF2-40B4-BE49-F238E27FC236}">
              <a16:creationId xmlns:a16="http://schemas.microsoft.com/office/drawing/2014/main" id="{43B74D56-E2DC-E03D-4384-4740932F6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7"/>
  <sheetViews>
    <sheetView workbookViewId="0">
      <selection sqref="A1:E1"/>
    </sheetView>
  </sheetViews>
  <sheetFormatPr defaultColWidth="12.6640625" defaultRowHeight="15.75" customHeight="1"/>
  <cols>
    <col min="5" max="5" width="28.77734375" customWidth="1"/>
  </cols>
  <sheetData>
    <row r="1" spans="1:5" ht="39">
      <c r="A1" s="149" t="s">
        <v>0</v>
      </c>
      <c r="B1" s="148"/>
      <c r="C1" s="148"/>
      <c r="D1" s="148"/>
      <c r="E1" s="148"/>
    </row>
    <row r="2" spans="1:5" ht="150" customHeight="1">
      <c r="A2" s="145" t="s">
        <v>1</v>
      </c>
      <c r="B2" s="141"/>
      <c r="C2" s="141"/>
      <c r="D2" s="141"/>
      <c r="E2" s="142"/>
    </row>
    <row r="3" spans="1:5" ht="13.2">
      <c r="A3" s="147" t="s">
        <v>2</v>
      </c>
      <c r="B3" s="148"/>
      <c r="C3" s="148"/>
      <c r="D3" s="148"/>
      <c r="E3" s="148"/>
    </row>
    <row r="5" spans="1:5" ht="13.2">
      <c r="A5" s="1" t="s">
        <v>3</v>
      </c>
      <c r="B5" s="2" t="s">
        <v>4</v>
      </c>
      <c r="C5" s="144" t="s">
        <v>5</v>
      </c>
      <c r="D5" s="141"/>
      <c r="E5" s="142"/>
    </row>
    <row r="6" spans="1:5" ht="13.2">
      <c r="A6" s="3"/>
      <c r="B6" s="4"/>
      <c r="C6" s="144" t="s">
        <v>6</v>
      </c>
      <c r="D6" s="141"/>
      <c r="E6" s="142"/>
    </row>
    <row r="7" spans="1:5" ht="13.2">
      <c r="A7" s="5">
        <v>1</v>
      </c>
      <c r="B7" s="6" t="b">
        <v>1</v>
      </c>
      <c r="C7" s="140" t="s">
        <v>7</v>
      </c>
      <c r="D7" s="141"/>
      <c r="E7" s="142"/>
    </row>
    <row r="8" spans="1:5" ht="13.2">
      <c r="A8" s="5">
        <v>2</v>
      </c>
      <c r="B8" s="6" t="b">
        <v>1</v>
      </c>
      <c r="C8" s="140" t="s">
        <v>8</v>
      </c>
      <c r="D8" s="141"/>
      <c r="E8" s="142"/>
    </row>
    <row r="9" spans="1:5" ht="13.2">
      <c r="A9" s="3"/>
      <c r="B9" s="4"/>
      <c r="C9" s="144" t="s">
        <v>9</v>
      </c>
      <c r="D9" s="141"/>
      <c r="E9" s="142"/>
    </row>
    <row r="10" spans="1:5" ht="13.2">
      <c r="A10" s="5">
        <v>3</v>
      </c>
      <c r="B10" s="6" t="b">
        <v>1</v>
      </c>
      <c r="C10" s="140" t="s">
        <v>10</v>
      </c>
      <c r="D10" s="141"/>
      <c r="E10" s="142"/>
    </row>
    <row r="11" spans="1:5" ht="13.2">
      <c r="A11" s="5">
        <v>4</v>
      </c>
      <c r="B11" s="6" t="b">
        <v>1</v>
      </c>
      <c r="C11" s="140" t="s">
        <v>11</v>
      </c>
      <c r="D11" s="141"/>
      <c r="E11" s="142"/>
    </row>
    <row r="12" spans="1:5" ht="13.2">
      <c r="A12" s="5">
        <v>5</v>
      </c>
      <c r="B12" s="6" t="b">
        <v>1</v>
      </c>
      <c r="C12" s="140" t="s">
        <v>12</v>
      </c>
      <c r="D12" s="141"/>
      <c r="E12" s="142"/>
    </row>
    <row r="13" spans="1:5" ht="13.2">
      <c r="A13" s="4"/>
      <c r="B13" s="4"/>
      <c r="C13" s="146" t="s">
        <v>13</v>
      </c>
      <c r="D13" s="141"/>
      <c r="E13" s="142"/>
    </row>
    <row r="14" spans="1:5" ht="13.2">
      <c r="A14" s="7">
        <v>6</v>
      </c>
      <c r="B14" s="8" t="b">
        <v>1</v>
      </c>
      <c r="C14" s="143" t="s">
        <v>14</v>
      </c>
      <c r="D14" s="138"/>
      <c r="E14" s="139"/>
    </row>
    <row r="15" spans="1:5" ht="13.2">
      <c r="A15" s="7">
        <v>7</v>
      </c>
      <c r="B15" s="8" t="b">
        <v>1</v>
      </c>
      <c r="C15" s="143" t="s">
        <v>15</v>
      </c>
      <c r="D15" s="138"/>
      <c r="E15" s="139"/>
    </row>
    <row r="16" spans="1:5" ht="13.2">
      <c r="A16" s="10"/>
      <c r="B16" s="4"/>
      <c r="C16" s="137" t="s">
        <v>16</v>
      </c>
      <c r="D16" s="138"/>
      <c r="E16" s="139"/>
    </row>
    <row r="17" spans="1:5" ht="13.2">
      <c r="A17" s="7">
        <v>8</v>
      </c>
      <c r="B17" s="8" t="b">
        <v>1</v>
      </c>
      <c r="C17" s="143" t="s">
        <v>17</v>
      </c>
      <c r="D17" s="138"/>
      <c r="E17" s="139"/>
    </row>
  </sheetData>
  <mergeCells count="16">
    <mergeCell ref="A1:E1"/>
    <mergeCell ref="C17:E17"/>
    <mergeCell ref="C7:E7"/>
    <mergeCell ref="C15:E15"/>
    <mergeCell ref="C12:E12"/>
    <mergeCell ref="C6:E6"/>
    <mergeCell ref="C10:E10"/>
    <mergeCell ref="C16:E16"/>
    <mergeCell ref="C11:E11"/>
    <mergeCell ref="C14:E14"/>
    <mergeCell ref="C5:E5"/>
    <mergeCell ref="A2:E2"/>
    <mergeCell ref="C13:E13"/>
    <mergeCell ref="C8:E8"/>
    <mergeCell ref="C9:E9"/>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76"/>
  <sheetViews>
    <sheetView showGridLines="0" topLeftCell="A46" workbookViewId="0">
      <selection sqref="A1:J1"/>
    </sheetView>
  </sheetViews>
  <sheetFormatPr defaultColWidth="12.6640625" defaultRowHeight="15.75" customHeight="1"/>
  <cols>
    <col min="2" max="2" width="26" customWidth="1"/>
  </cols>
  <sheetData>
    <row r="1" spans="1:10" ht="37.799999999999997">
      <c r="A1" s="167" t="s">
        <v>7</v>
      </c>
      <c r="B1" s="141"/>
      <c r="C1" s="141"/>
      <c r="D1" s="141"/>
      <c r="E1" s="141"/>
      <c r="F1" s="141"/>
      <c r="G1" s="141"/>
      <c r="H1" s="141"/>
      <c r="I1" s="141"/>
      <c r="J1" s="142"/>
    </row>
    <row r="2" spans="1:10" ht="13.2">
      <c r="A2" s="169" t="s">
        <v>18</v>
      </c>
      <c r="B2" s="141"/>
      <c r="C2" s="141"/>
      <c r="D2" s="141"/>
      <c r="E2" s="141"/>
      <c r="F2" s="141"/>
      <c r="G2" s="141"/>
      <c r="H2" s="141"/>
      <c r="I2" s="141"/>
      <c r="J2" s="142"/>
    </row>
    <row r="3" spans="1:10" ht="13.2">
      <c r="A3" s="169" t="s">
        <v>19</v>
      </c>
      <c r="B3" s="141"/>
      <c r="C3" s="141"/>
      <c r="D3" s="141"/>
      <c r="E3" s="141"/>
      <c r="F3" s="141"/>
      <c r="G3" s="141"/>
      <c r="H3" s="141"/>
      <c r="I3" s="141"/>
      <c r="J3" s="142"/>
    </row>
    <row r="4" spans="1:10" ht="13.2">
      <c r="A4" s="154" t="s">
        <v>20</v>
      </c>
      <c r="B4" s="141"/>
      <c r="C4" s="141"/>
      <c r="D4" s="141"/>
      <c r="E4" s="141"/>
      <c r="F4" s="141"/>
      <c r="G4" s="141"/>
      <c r="H4" s="141"/>
      <c r="I4" s="141"/>
      <c r="J4" s="142"/>
    </row>
    <row r="5" spans="1:10" ht="13.2">
      <c r="A5" s="150" t="s">
        <v>21</v>
      </c>
      <c r="B5" s="141"/>
      <c r="C5" s="141"/>
      <c r="D5" s="141"/>
      <c r="E5" s="141"/>
      <c r="F5" s="141"/>
      <c r="G5" s="141"/>
      <c r="H5" s="141"/>
      <c r="I5" s="141"/>
      <c r="J5" s="142"/>
    </row>
    <row r="6" spans="1:10" ht="13.2">
      <c r="A6" s="152" t="s">
        <v>22</v>
      </c>
      <c r="B6" s="141"/>
      <c r="C6" s="141"/>
      <c r="D6" s="141"/>
      <c r="E6" s="141"/>
      <c r="F6" s="141"/>
      <c r="G6" s="141"/>
      <c r="H6" s="141"/>
      <c r="I6" s="141"/>
      <c r="J6" s="142"/>
    </row>
    <row r="7" spans="1:10" ht="13.2">
      <c r="A7" s="152" t="s">
        <v>23</v>
      </c>
      <c r="B7" s="141"/>
      <c r="C7" s="141"/>
      <c r="D7" s="141"/>
      <c r="E7" s="141"/>
      <c r="F7" s="141"/>
      <c r="G7" s="141"/>
      <c r="H7" s="141"/>
      <c r="I7" s="141"/>
      <c r="J7" s="142"/>
    </row>
    <row r="8" spans="1:10" ht="13.2">
      <c r="A8" s="152" t="s">
        <v>24</v>
      </c>
      <c r="B8" s="141"/>
      <c r="C8" s="141"/>
      <c r="D8" s="141"/>
      <c r="E8" s="141"/>
      <c r="F8" s="141"/>
      <c r="G8" s="141"/>
      <c r="H8" s="141"/>
      <c r="I8" s="141"/>
      <c r="J8" s="142"/>
    </row>
    <row r="9" spans="1:10" ht="13.2">
      <c r="A9" s="152" t="s">
        <v>25</v>
      </c>
      <c r="B9" s="141"/>
      <c r="C9" s="141"/>
      <c r="D9" s="141"/>
      <c r="E9" s="141"/>
      <c r="F9" s="141"/>
      <c r="G9" s="141"/>
      <c r="H9" s="141"/>
      <c r="I9" s="141"/>
      <c r="J9" s="142"/>
    </row>
    <row r="10" spans="1:10" ht="13.2">
      <c r="A10" s="152" t="s">
        <v>26</v>
      </c>
      <c r="B10" s="141"/>
      <c r="C10" s="141"/>
      <c r="D10" s="141"/>
      <c r="E10" s="141"/>
      <c r="F10" s="141"/>
      <c r="G10" s="141"/>
      <c r="H10" s="141"/>
      <c r="I10" s="141"/>
      <c r="J10" s="142"/>
    </row>
    <row r="11" spans="1:10" ht="13.2">
      <c r="A11" s="165" t="s">
        <v>27</v>
      </c>
      <c r="B11" s="141"/>
      <c r="C11" s="141"/>
      <c r="D11" s="141"/>
      <c r="E11" s="141"/>
      <c r="F11" s="141"/>
      <c r="G11" s="141"/>
      <c r="H11" s="141"/>
      <c r="I11" s="141"/>
      <c r="J11" s="142"/>
    </row>
    <row r="12" spans="1:10" ht="13.2">
      <c r="A12" s="11"/>
      <c r="B12" s="11"/>
      <c r="C12" s="12"/>
      <c r="D12" s="11"/>
      <c r="E12" s="11"/>
      <c r="F12" s="11"/>
      <c r="G12" s="11"/>
      <c r="H12" s="11"/>
      <c r="I12" s="11"/>
      <c r="J12" s="11"/>
    </row>
    <row r="13" spans="1:10" ht="13.8">
      <c r="A13" s="13"/>
      <c r="B13" s="13"/>
    </row>
    <row r="14" spans="1:10" ht="24.6">
      <c r="A14" s="166" t="s">
        <v>28</v>
      </c>
      <c r="B14" s="142"/>
    </row>
    <row r="15" spans="1:10" ht="13.2">
      <c r="A15" s="153" t="s">
        <v>29</v>
      </c>
      <c r="B15" s="142"/>
    </row>
    <row r="16" spans="1:10" ht="52.8">
      <c r="A16" s="14" t="s">
        <v>30</v>
      </c>
      <c r="B16" s="15" t="s">
        <v>31</v>
      </c>
    </row>
    <row r="17" spans="1:7" ht="39.6">
      <c r="A17" s="14" t="s">
        <v>32</v>
      </c>
      <c r="B17" s="16" t="s">
        <v>33</v>
      </c>
    </row>
    <row r="18" spans="1:7" ht="26.4">
      <c r="A18" s="14" t="s">
        <v>34</v>
      </c>
      <c r="B18" s="16" t="s">
        <v>35</v>
      </c>
    </row>
    <row r="19" spans="1:7" ht="39.6">
      <c r="A19" s="14" t="s">
        <v>36</v>
      </c>
      <c r="B19" s="16" t="s">
        <v>37</v>
      </c>
    </row>
    <row r="20" spans="1:7" ht="39.6">
      <c r="A20" s="14" t="s">
        <v>38</v>
      </c>
      <c r="B20" s="16" t="s">
        <v>39</v>
      </c>
    </row>
    <row r="21" spans="1:7" ht="26.4">
      <c r="A21" s="14" t="s">
        <v>40</v>
      </c>
      <c r="B21" s="16" t="s">
        <v>41</v>
      </c>
    </row>
    <row r="23" spans="1:7" ht="13.2">
      <c r="A23" s="155" t="s">
        <v>42</v>
      </c>
      <c r="B23" s="156"/>
      <c r="C23" s="164" t="s">
        <v>43</v>
      </c>
      <c r="D23" s="156"/>
    </row>
    <row r="24" spans="1:7" ht="13.2">
      <c r="A24" s="157"/>
      <c r="B24" s="158"/>
      <c r="C24" s="157"/>
      <c r="D24" s="158"/>
    </row>
    <row r="25" spans="1:7" ht="13.2">
      <c r="A25" s="157"/>
      <c r="B25" s="158"/>
      <c r="C25" s="157"/>
      <c r="D25" s="158"/>
    </row>
    <row r="26" spans="1:7" ht="30.75" customHeight="1">
      <c r="A26" s="159"/>
      <c r="B26" s="139"/>
      <c r="C26" s="159"/>
      <c r="D26" s="139"/>
    </row>
    <row r="28" spans="1:7" ht="13.2">
      <c r="A28" s="155" t="s">
        <v>44</v>
      </c>
      <c r="B28" s="14">
        <v>1</v>
      </c>
      <c r="C28" s="163" t="s">
        <v>45</v>
      </c>
      <c r="D28" s="141"/>
      <c r="E28" s="141"/>
      <c r="F28" s="141"/>
      <c r="G28" s="142"/>
    </row>
    <row r="29" spans="1:7" ht="13.2">
      <c r="A29" s="161"/>
      <c r="B29" s="14">
        <v>2</v>
      </c>
      <c r="C29" s="151" t="s">
        <v>46</v>
      </c>
      <c r="D29" s="141"/>
      <c r="E29" s="141"/>
      <c r="F29" s="141"/>
      <c r="G29" s="142"/>
    </row>
    <row r="30" spans="1:7" ht="13.2">
      <c r="A30" s="161"/>
      <c r="B30" s="14">
        <v>3</v>
      </c>
      <c r="C30" s="151" t="s">
        <v>47</v>
      </c>
      <c r="D30" s="141"/>
      <c r="E30" s="141"/>
      <c r="F30" s="141"/>
      <c r="G30" s="142"/>
    </row>
    <row r="31" spans="1:7" ht="13.2">
      <c r="A31" s="161"/>
      <c r="B31" s="14">
        <v>4</v>
      </c>
      <c r="C31" s="151" t="s">
        <v>48</v>
      </c>
      <c r="D31" s="141"/>
      <c r="E31" s="141"/>
      <c r="F31" s="141"/>
      <c r="G31" s="142"/>
    </row>
    <row r="32" spans="1:7" ht="13.2">
      <c r="A32" s="162"/>
      <c r="B32" s="14">
        <v>5</v>
      </c>
      <c r="C32" s="151" t="s">
        <v>49</v>
      </c>
      <c r="D32" s="141"/>
      <c r="E32" s="141"/>
      <c r="F32" s="141"/>
      <c r="G32" s="142"/>
    </row>
    <row r="34" spans="1:7" ht="24.6">
      <c r="A34" s="166" t="s">
        <v>50</v>
      </c>
      <c r="B34" s="142"/>
    </row>
    <row r="35" spans="1:7" ht="13.2">
      <c r="A35" s="160" t="s">
        <v>51</v>
      </c>
      <c r="B35" s="156"/>
    </row>
    <row r="36" spans="1:7" ht="13.2">
      <c r="A36" s="157"/>
      <c r="B36" s="158"/>
    </row>
    <row r="37" spans="1:7" ht="13.2">
      <c r="A37" s="157"/>
      <c r="B37" s="158"/>
    </row>
    <row r="38" spans="1:7" ht="13.2">
      <c r="A38" s="159"/>
      <c r="B38" s="139"/>
    </row>
    <row r="39" spans="1:7" ht="13.2">
      <c r="A39" s="164" t="s">
        <v>52</v>
      </c>
      <c r="B39" s="156"/>
    </row>
    <row r="40" spans="1:7" ht="13.2">
      <c r="A40" s="157"/>
      <c r="B40" s="158"/>
    </row>
    <row r="41" spans="1:7" ht="13.2">
      <c r="A41" s="157"/>
      <c r="B41" s="158"/>
    </row>
    <row r="42" spans="1:7" ht="13.2">
      <c r="A42" s="159"/>
      <c r="B42" s="139"/>
    </row>
    <row r="44" spans="1:7" ht="13.2">
      <c r="A44" s="155" t="s">
        <v>53</v>
      </c>
      <c r="B44" s="14">
        <v>1</v>
      </c>
      <c r="C44" s="163" t="s">
        <v>54</v>
      </c>
      <c r="D44" s="141"/>
      <c r="E44" s="141"/>
      <c r="F44" s="141"/>
      <c r="G44" s="142"/>
    </row>
    <row r="45" spans="1:7" ht="13.2">
      <c r="A45" s="161"/>
      <c r="B45" s="14">
        <v>2</v>
      </c>
      <c r="C45" s="151" t="s">
        <v>55</v>
      </c>
      <c r="D45" s="141"/>
      <c r="E45" s="141"/>
      <c r="F45" s="141"/>
      <c r="G45" s="142"/>
    </row>
    <row r="46" spans="1:7" ht="13.2">
      <c r="A46" s="161"/>
      <c r="B46" s="14">
        <v>3</v>
      </c>
      <c r="C46" s="151" t="s">
        <v>56</v>
      </c>
      <c r="D46" s="141"/>
      <c r="E46" s="141"/>
      <c r="F46" s="141"/>
      <c r="G46" s="142"/>
    </row>
    <row r="47" spans="1:7" ht="13.2">
      <c r="A47" s="161"/>
      <c r="B47" s="14">
        <v>4</v>
      </c>
      <c r="C47" s="151" t="s">
        <v>57</v>
      </c>
      <c r="D47" s="141"/>
      <c r="E47" s="141"/>
      <c r="F47" s="141"/>
      <c r="G47" s="142"/>
    </row>
    <row r="48" spans="1:7" ht="13.2">
      <c r="A48" s="162"/>
      <c r="B48" s="14">
        <v>5</v>
      </c>
      <c r="C48" s="151" t="s">
        <v>58</v>
      </c>
      <c r="D48" s="141"/>
      <c r="E48" s="141"/>
      <c r="F48" s="141"/>
      <c r="G48" s="142"/>
    </row>
    <row r="50" spans="1:2" ht="24.6">
      <c r="A50" s="166" t="s">
        <v>59</v>
      </c>
      <c r="B50" s="142"/>
    </row>
    <row r="51" spans="1:2" ht="13.2">
      <c r="A51" s="160" t="s">
        <v>60</v>
      </c>
      <c r="B51" s="156"/>
    </row>
    <row r="52" spans="1:2" ht="13.2">
      <c r="A52" s="157"/>
      <c r="B52" s="158"/>
    </row>
    <row r="53" spans="1:2" ht="13.2">
      <c r="A53" s="159"/>
      <c r="B53" s="139"/>
    </row>
    <row r="54" spans="1:2" ht="13.2">
      <c r="A54" s="160" t="s">
        <v>61</v>
      </c>
      <c r="B54" s="156"/>
    </row>
    <row r="55" spans="1:2" ht="13.2">
      <c r="A55" s="157"/>
      <c r="B55" s="158"/>
    </row>
    <row r="56" spans="1:2" ht="13.2">
      <c r="A56" s="159"/>
      <c r="B56" s="139"/>
    </row>
    <row r="57" spans="1:2" ht="13.2">
      <c r="A57" s="164" t="s">
        <v>62</v>
      </c>
      <c r="B57" s="156"/>
    </row>
    <row r="58" spans="1:2" ht="13.2">
      <c r="A58" s="157"/>
      <c r="B58" s="158"/>
    </row>
    <row r="59" spans="1:2" ht="13.2">
      <c r="A59" s="157"/>
      <c r="B59" s="158"/>
    </row>
    <row r="60" spans="1:2" ht="13.2">
      <c r="A60" s="159"/>
      <c r="B60" s="139"/>
    </row>
    <row r="62" spans="1:2" ht="24.6">
      <c r="A62" s="166" t="s">
        <v>63</v>
      </c>
      <c r="B62" s="142"/>
    </row>
    <row r="63" spans="1:2" ht="13.2">
      <c r="A63" s="160" t="s">
        <v>64</v>
      </c>
      <c r="B63" s="156"/>
    </row>
    <row r="64" spans="1:2" ht="13.2">
      <c r="A64" s="157"/>
      <c r="B64" s="158"/>
    </row>
    <row r="65" spans="1:2" ht="13.2">
      <c r="A65" s="157"/>
      <c r="B65" s="158"/>
    </row>
    <row r="66" spans="1:2" ht="13.2">
      <c r="A66" s="159"/>
      <c r="B66" s="139"/>
    </row>
    <row r="67" spans="1:2" ht="13.2">
      <c r="A67" s="151" t="s">
        <v>65</v>
      </c>
      <c r="B67" s="156"/>
    </row>
    <row r="68" spans="1:2" ht="13.2">
      <c r="A68" s="157"/>
      <c r="B68" s="158"/>
    </row>
    <row r="69" spans="1:2" ht="13.2">
      <c r="A69" s="157"/>
      <c r="B69" s="158"/>
    </row>
    <row r="70" spans="1:2" ht="13.2">
      <c r="A70" s="159"/>
      <c r="B70" s="139"/>
    </row>
    <row r="72" spans="1:2" ht="24.6">
      <c r="A72" s="168" t="s">
        <v>66</v>
      </c>
      <c r="B72" s="142"/>
    </row>
    <row r="73" spans="1:2" ht="13.2">
      <c r="A73" s="14" t="s">
        <v>28</v>
      </c>
      <c r="B73" s="17" t="s">
        <v>67</v>
      </c>
    </row>
    <row r="74" spans="1:2" ht="13.2">
      <c r="A74" s="14" t="s">
        <v>68</v>
      </c>
      <c r="B74" s="17" t="s">
        <v>69</v>
      </c>
    </row>
    <row r="75" spans="1:2" ht="13.2">
      <c r="A75" s="14" t="s">
        <v>70</v>
      </c>
      <c r="B75" s="17" t="s">
        <v>71</v>
      </c>
    </row>
    <row r="76" spans="1:2" ht="13.2">
      <c r="A76" s="14" t="s">
        <v>72</v>
      </c>
      <c r="B76" s="17" t="s">
        <v>73</v>
      </c>
    </row>
  </sheetData>
  <mergeCells count="38">
    <mergeCell ref="A72:B72"/>
    <mergeCell ref="C32:G32"/>
    <mergeCell ref="A3:J3"/>
    <mergeCell ref="C28:G28"/>
    <mergeCell ref="A2:J2"/>
    <mergeCell ref="A34:B34"/>
    <mergeCell ref="A67:B70"/>
    <mergeCell ref="A7:J7"/>
    <mergeCell ref="A14:B14"/>
    <mergeCell ref="C48:G48"/>
    <mergeCell ref="A62:B62"/>
    <mergeCell ref="A1:J1"/>
    <mergeCell ref="A39:B42"/>
    <mergeCell ref="A6:J6"/>
    <mergeCell ref="C46:G46"/>
    <mergeCell ref="A35:B38"/>
    <mergeCell ref="A57:B60"/>
    <mergeCell ref="C31:G31"/>
    <mergeCell ref="A63:B66"/>
    <mergeCell ref="A11:J11"/>
    <mergeCell ref="A50:B50"/>
    <mergeCell ref="A54:B56"/>
    <mergeCell ref="C47:G47"/>
    <mergeCell ref="A9:J9"/>
    <mergeCell ref="C44:G44"/>
    <mergeCell ref="A28:A32"/>
    <mergeCell ref="C23:D26"/>
    <mergeCell ref="C45:G45"/>
    <mergeCell ref="A23:B26"/>
    <mergeCell ref="A10:J10"/>
    <mergeCell ref="C29:G29"/>
    <mergeCell ref="A51:B53"/>
    <mergeCell ref="A44:A48"/>
    <mergeCell ref="A5:J5"/>
    <mergeCell ref="C30:G30"/>
    <mergeCell ref="A8:J8"/>
    <mergeCell ref="A15:B15"/>
    <mergeCell ref="A4:J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5"/>
  <sheetViews>
    <sheetView showGridLines="0" workbookViewId="0">
      <selection sqref="A1:C1"/>
    </sheetView>
  </sheetViews>
  <sheetFormatPr defaultColWidth="12.6640625" defaultRowHeight="15.75" customHeight="1"/>
  <cols>
    <col min="1" max="1" width="36.44140625" customWidth="1"/>
    <col min="2" max="2" width="23.44140625" customWidth="1"/>
    <col min="3" max="3" width="35.44140625" customWidth="1"/>
  </cols>
  <sheetData>
    <row r="1" spans="1:3" ht="15.75" customHeight="1">
      <c r="A1" s="171" t="s">
        <v>8</v>
      </c>
      <c r="B1" s="141"/>
      <c r="C1" s="142"/>
    </row>
    <row r="2" spans="1:3">
      <c r="A2" s="169" t="s">
        <v>74</v>
      </c>
      <c r="B2" s="141"/>
      <c r="C2" s="142"/>
    </row>
    <row r="3" spans="1:3">
      <c r="A3" s="169" t="s">
        <v>75</v>
      </c>
      <c r="B3" s="141"/>
      <c r="C3" s="142"/>
    </row>
    <row r="4" spans="1:3">
      <c r="A4" s="170" t="s">
        <v>76</v>
      </c>
      <c r="B4" s="141"/>
      <c r="C4" s="142"/>
    </row>
    <row r="5" spans="1:3">
      <c r="A5" s="172" t="s">
        <v>20</v>
      </c>
      <c r="B5" s="141"/>
      <c r="C5" s="142"/>
    </row>
    <row r="6" spans="1:3">
      <c r="A6" s="172" t="s">
        <v>77</v>
      </c>
      <c r="B6" s="141"/>
      <c r="C6" s="142"/>
    </row>
    <row r="7" spans="1:3">
      <c r="A7" s="172" t="s">
        <v>78</v>
      </c>
      <c r="B7" s="141"/>
      <c r="C7" s="142"/>
    </row>
    <row r="8" spans="1:3">
      <c r="A8" s="172" t="s">
        <v>79</v>
      </c>
      <c r="B8" s="141"/>
      <c r="C8" s="142"/>
    </row>
    <row r="9" spans="1:3">
      <c r="A9" s="175" t="s">
        <v>27</v>
      </c>
      <c r="B9" s="148"/>
      <c r="C9" s="148"/>
    </row>
    <row r="10" spans="1:3" ht="15.75" customHeight="1">
      <c r="A10" s="18" t="s">
        <v>80</v>
      </c>
      <c r="B10" s="18" t="s">
        <v>81</v>
      </c>
      <c r="C10" s="18" t="s">
        <v>82</v>
      </c>
    </row>
    <row r="11" spans="1:3">
      <c r="A11" s="19" t="s">
        <v>83</v>
      </c>
      <c r="B11" s="19" t="s">
        <v>84</v>
      </c>
      <c r="C11" s="19" t="s">
        <v>85</v>
      </c>
    </row>
    <row r="12" spans="1:3">
      <c r="A12" s="174" t="s">
        <v>86</v>
      </c>
      <c r="B12" s="173" t="s">
        <v>87</v>
      </c>
      <c r="C12" s="174" t="s">
        <v>88</v>
      </c>
    </row>
    <row r="13" spans="1:3">
      <c r="A13" s="161"/>
      <c r="B13" s="161"/>
      <c r="C13" s="161"/>
    </row>
    <row r="14" spans="1:3">
      <c r="A14" s="161"/>
      <c r="B14" s="161"/>
      <c r="C14" s="161"/>
    </row>
    <row r="15" spans="1:3">
      <c r="A15" s="162"/>
      <c r="B15" s="162"/>
      <c r="C15" s="162"/>
    </row>
  </sheetData>
  <mergeCells count="12">
    <mergeCell ref="A4:C4"/>
    <mergeCell ref="A1:C1"/>
    <mergeCell ref="A5:C5"/>
    <mergeCell ref="A8:C8"/>
    <mergeCell ref="B12:B15"/>
    <mergeCell ref="A12:A15"/>
    <mergeCell ref="A6:C6"/>
    <mergeCell ref="C12:C15"/>
    <mergeCell ref="A9:C9"/>
    <mergeCell ref="A3:C3"/>
    <mergeCell ref="A7:C7"/>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46"/>
  <sheetViews>
    <sheetView showGridLines="0" topLeftCell="A35" workbookViewId="0">
      <selection sqref="A1:M1"/>
    </sheetView>
  </sheetViews>
  <sheetFormatPr defaultColWidth="12.6640625" defaultRowHeight="15.75" customHeight="1"/>
  <cols>
    <col min="1" max="1" width="15" customWidth="1"/>
    <col min="2" max="2" width="14.33203125" customWidth="1"/>
  </cols>
  <sheetData>
    <row r="1" spans="1:13" ht="15.75" customHeight="1">
      <c r="A1" s="177" t="s">
        <v>10</v>
      </c>
      <c r="B1" s="141"/>
      <c r="C1" s="141"/>
      <c r="D1" s="141"/>
      <c r="E1" s="141"/>
      <c r="F1" s="141"/>
      <c r="G1" s="141"/>
      <c r="H1" s="141"/>
      <c r="I1" s="141"/>
      <c r="J1" s="141"/>
      <c r="K1" s="141"/>
      <c r="L1" s="141"/>
      <c r="M1" s="142"/>
    </row>
    <row r="2" spans="1:13">
      <c r="A2" s="169" t="s">
        <v>89</v>
      </c>
      <c r="B2" s="141"/>
      <c r="C2" s="141"/>
      <c r="D2" s="141"/>
      <c r="E2" s="141"/>
      <c r="F2" s="141"/>
      <c r="G2" s="141"/>
      <c r="H2" s="141"/>
      <c r="I2" s="142"/>
      <c r="J2" s="20"/>
      <c r="K2" s="20"/>
    </row>
    <row r="3" spans="1:13">
      <c r="A3" s="178" t="s">
        <v>90</v>
      </c>
      <c r="B3" s="148"/>
      <c r="C3" s="148"/>
      <c r="D3" s="148"/>
      <c r="E3" s="148"/>
      <c r="F3" s="148"/>
      <c r="G3" s="148"/>
      <c r="H3" s="148"/>
      <c r="I3" s="158"/>
      <c r="J3" s="20"/>
      <c r="K3" s="20"/>
    </row>
    <row r="4" spans="1:13">
      <c r="A4" s="178" t="s">
        <v>91</v>
      </c>
      <c r="B4" s="148"/>
      <c r="C4" s="148"/>
      <c r="D4" s="148"/>
      <c r="E4" s="148"/>
      <c r="F4" s="148"/>
      <c r="G4" s="148"/>
      <c r="H4" s="148"/>
      <c r="I4" s="158"/>
      <c r="J4" s="20"/>
      <c r="K4" s="20"/>
    </row>
    <row r="5" spans="1:13">
      <c r="A5" s="178" t="s">
        <v>92</v>
      </c>
      <c r="B5" s="148"/>
      <c r="C5" s="148"/>
      <c r="D5" s="148"/>
      <c r="E5" s="148"/>
      <c r="F5" s="148"/>
      <c r="G5" s="148"/>
      <c r="H5" s="148"/>
      <c r="I5" s="158"/>
      <c r="J5" s="20"/>
      <c r="K5" s="20"/>
    </row>
    <row r="6" spans="1:13">
      <c r="A6" s="169" t="s">
        <v>93</v>
      </c>
      <c r="B6" s="141"/>
      <c r="C6" s="141"/>
      <c r="D6" s="141"/>
      <c r="E6" s="141"/>
      <c r="F6" s="141"/>
      <c r="G6" s="141"/>
      <c r="H6" s="141"/>
      <c r="I6" s="142"/>
      <c r="J6" s="20"/>
      <c r="K6" s="20"/>
    </row>
    <row r="7" spans="1:13">
      <c r="A7" s="170" t="s">
        <v>94</v>
      </c>
      <c r="B7" s="141"/>
      <c r="C7" s="141"/>
      <c r="D7" s="141"/>
      <c r="E7" s="141"/>
      <c r="F7" s="141"/>
      <c r="G7" s="141"/>
      <c r="H7" s="141"/>
      <c r="I7" s="142"/>
      <c r="J7" s="20"/>
      <c r="K7" s="20"/>
    </row>
    <row r="8" spans="1:13">
      <c r="A8" s="172" t="s">
        <v>20</v>
      </c>
      <c r="B8" s="141"/>
      <c r="C8" s="141"/>
      <c r="D8" s="141"/>
      <c r="E8" s="141"/>
      <c r="F8" s="141"/>
      <c r="G8" s="141"/>
      <c r="H8" s="141"/>
      <c r="I8" s="142"/>
      <c r="J8" s="21"/>
      <c r="K8" s="21"/>
    </row>
    <row r="9" spans="1:13">
      <c r="A9" s="172" t="s">
        <v>95</v>
      </c>
      <c r="B9" s="141"/>
      <c r="C9" s="141"/>
      <c r="D9" s="141"/>
      <c r="E9" s="141"/>
      <c r="F9" s="141"/>
      <c r="G9" s="141"/>
      <c r="H9" s="141"/>
      <c r="I9" s="142"/>
      <c r="J9" s="21"/>
      <c r="K9" s="21"/>
      <c r="L9" s="22" t="s">
        <v>96</v>
      </c>
    </row>
    <row r="10" spans="1:13">
      <c r="A10" s="172" t="s">
        <v>97</v>
      </c>
      <c r="B10" s="141"/>
      <c r="C10" s="141"/>
      <c r="D10" s="141"/>
      <c r="E10" s="141"/>
      <c r="F10" s="141"/>
      <c r="G10" s="141"/>
      <c r="H10" s="141"/>
      <c r="I10" s="142"/>
      <c r="J10" s="21"/>
      <c r="K10" s="21"/>
    </row>
    <row r="11" spans="1:13">
      <c r="A11" s="176" t="s">
        <v>98</v>
      </c>
      <c r="B11" s="141"/>
      <c r="C11" s="141"/>
      <c r="D11" s="141"/>
      <c r="E11" s="141"/>
      <c r="F11" s="141"/>
      <c r="G11" s="141"/>
      <c r="H11" s="141"/>
      <c r="I11" s="142"/>
    </row>
    <row r="12" spans="1:13" ht="15.75" customHeight="1">
      <c r="A12" s="181" t="s">
        <v>99</v>
      </c>
      <c r="B12" s="180"/>
      <c r="C12" s="180"/>
      <c r="D12" s="180"/>
      <c r="E12" s="180"/>
      <c r="F12" s="180"/>
      <c r="G12" s="180"/>
      <c r="H12" s="180"/>
      <c r="I12" s="180"/>
      <c r="J12" s="180"/>
      <c r="K12" s="180"/>
      <c r="L12" s="180"/>
      <c r="M12" s="156"/>
    </row>
    <row r="13" spans="1:13">
      <c r="A13" s="23" t="s">
        <v>100</v>
      </c>
      <c r="B13" s="24" t="s">
        <v>101</v>
      </c>
      <c r="C13" s="183" t="s">
        <v>102</v>
      </c>
      <c r="D13" s="180"/>
      <c r="E13" s="180"/>
      <c r="F13" s="180"/>
      <c r="G13" s="180"/>
      <c r="H13" s="180"/>
      <c r="I13" s="180"/>
      <c r="J13" s="180"/>
      <c r="K13" s="180"/>
      <c r="L13" s="180"/>
      <c r="M13" s="156"/>
    </row>
    <row r="14" spans="1:13">
      <c r="A14" s="25"/>
      <c r="B14" s="26"/>
      <c r="C14" s="27">
        <v>0</v>
      </c>
      <c r="D14" s="27">
        <v>1</v>
      </c>
      <c r="E14" s="27">
        <v>2</v>
      </c>
      <c r="F14" s="27">
        <v>3</v>
      </c>
      <c r="G14" s="27">
        <v>4</v>
      </c>
      <c r="H14" s="27">
        <v>5</v>
      </c>
      <c r="I14" s="27">
        <v>6</v>
      </c>
      <c r="J14" s="27">
        <v>7</v>
      </c>
      <c r="K14" s="27">
        <v>8</v>
      </c>
      <c r="L14" s="27">
        <v>9</v>
      </c>
      <c r="M14" s="28">
        <v>10</v>
      </c>
    </row>
    <row r="15" spans="1:13">
      <c r="A15" s="29">
        <v>43617</v>
      </c>
      <c r="B15" s="30">
        <v>240</v>
      </c>
      <c r="C15" s="31">
        <v>237</v>
      </c>
      <c r="D15" s="32">
        <f>224*0.8</f>
        <v>179.20000000000002</v>
      </c>
      <c r="E15" s="32">
        <f>217*0.8</f>
        <v>173.60000000000002</v>
      </c>
      <c r="F15" s="32">
        <f>203*0.8</f>
        <v>162.4</v>
      </c>
      <c r="G15" s="32">
        <f>192*0.8</f>
        <v>153.60000000000002</v>
      </c>
      <c r="H15" s="32">
        <f>179*0.8</f>
        <v>143.20000000000002</v>
      </c>
      <c r="I15" s="32">
        <f>163*0.8</f>
        <v>130.4</v>
      </c>
      <c r="J15" s="32">
        <f>158*0.8</f>
        <v>126.4</v>
      </c>
      <c r="K15" s="32">
        <f>150*0.8</f>
        <v>120</v>
      </c>
      <c r="L15" s="32">
        <f>147*0.8</f>
        <v>117.60000000000001</v>
      </c>
      <c r="M15" s="33">
        <f>143*0.8</f>
        <v>114.4</v>
      </c>
    </row>
    <row r="16" spans="1:13">
      <c r="A16" s="29">
        <v>43623</v>
      </c>
      <c r="B16" s="30">
        <v>324</v>
      </c>
      <c r="C16" s="31">
        <v>307</v>
      </c>
      <c r="D16" s="32">
        <f>283*0.8</f>
        <v>226.4</v>
      </c>
      <c r="E16" s="32">
        <f>268*0.8</f>
        <v>214.4</v>
      </c>
      <c r="F16" s="32">
        <f>242*0.8</f>
        <v>193.60000000000002</v>
      </c>
      <c r="G16" s="32">
        <f>229*0.8</f>
        <v>183.20000000000002</v>
      </c>
      <c r="H16" s="32">
        <f>213*0.8</f>
        <v>170.4</v>
      </c>
      <c r="I16" s="32">
        <f>195*0.8</f>
        <v>156</v>
      </c>
      <c r="J16" s="32">
        <f>190*0.8</f>
        <v>152</v>
      </c>
      <c r="K16" s="32">
        <f>182*0.8</f>
        <v>145.6</v>
      </c>
      <c r="L16" s="32">
        <v>143</v>
      </c>
      <c r="M16" s="34"/>
    </row>
    <row r="17" spans="1:13">
      <c r="A17" s="29">
        <v>43630</v>
      </c>
      <c r="B17" s="30">
        <v>425</v>
      </c>
      <c r="C17" s="31">
        <v>414</v>
      </c>
      <c r="D17" s="32">
        <f>392*0.8</f>
        <v>313.60000000000002</v>
      </c>
      <c r="E17" s="32">
        <f>378*0.8</f>
        <v>302.40000000000003</v>
      </c>
      <c r="F17" s="32">
        <f>353*0.8</f>
        <v>282.40000000000003</v>
      </c>
      <c r="G17" s="32">
        <f>337*0.8</f>
        <v>269.60000000000002</v>
      </c>
      <c r="H17" s="32">
        <f>305*0.8</f>
        <v>244</v>
      </c>
      <c r="I17" s="32">
        <f>293*0.8</f>
        <v>234.4</v>
      </c>
      <c r="J17" s="32">
        <f>285*0.8</f>
        <v>228</v>
      </c>
      <c r="K17" s="32">
        <f>271*0.8</f>
        <v>216.8</v>
      </c>
      <c r="L17" s="35"/>
      <c r="M17" s="34"/>
    </row>
    <row r="18" spans="1:13">
      <c r="A18" s="29">
        <v>43637</v>
      </c>
      <c r="B18" s="30">
        <v>634</v>
      </c>
      <c r="C18" s="31">
        <v>618</v>
      </c>
      <c r="D18" s="32">
        <f>587*0.8</f>
        <v>469.6</v>
      </c>
      <c r="E18" s="32">
        <f>554*0.8</f>
        <v>443.20000000000005</v>
      </c>
      <c r="F18" s="32">
        <f>530*0.8</f>
        <v>424</v>
      </c>
      <c r="G18" s="32">
        <f>507*0.8</f>
        <v>405.6</v>
      </c>
      <c r="H18" s="32">
        <f>482*0.8</f>
        <v>385.6</v>
      </c>
      <c r="I18" s="32">
        <f>458*0.8</f>
        <v>366.40000000000003</v>
      </c>
      <c r="J18" s="32">
        <f>442*0.8</f>
        <v>353.6</v>
      </c>
      <c r="K18" s="35"/>
      <c r="L18" s="35"/>
      <c r="M18" s="34"/>
    </row>
    <row r="19" spans="1:13">
      <c r="A19" s="29">
        <v>43644</v>
      </c>
      <c r="B19" s="30">
        <v>796</v>
      </c>
      <c r="C19" s="31">
        <v>772</v>
      </c>
      <c r="D19" s="32">
        <f>753*0.8</f>
        <v>602.4</v>
      </c>
      <c r="E19" s="32">
        <f>729*0.8</f>
        <v>583.20000000000005</v>
      </c>
      <c r="F19" s="32">
        <f>694*0.8</f>
        <v>555.20000000000005</v>
      </c>
      <c r="G19" s="32">
        <f>649*0.8</f>
        <v>519.20000000000005</v>
      </c>
      <c r="H19" s="32">
        <f>612*0.8</f>
        <v>489.6</v>
      </c>
      <c r="I19" s="32">
        <f>586*0.8</f>
        <v>468.8</v>
      </c>
      <c r="M19" s="36"/>
    </row>
    <row r="20" spans="1:13">
      <c r="A20" s="29">
        <v>43651</v>
      </c>
      <c r="B20" s="30">
        <v>918</v>
      </c>
      <c r="C20" s="31">
        <v>885</v>
      </c>
      <c r="D20" s="32">
        <f>840*0.8</f>
        <v>672</v>
      </c>
      <c r="E20" s="32">
        <f>803*0.8</f>
        <v>642.40000000000009</v>
      </c>
      <c r="F20" s="32">
        <f>773*0.8</f>
        <v>618.40000000000009</v>
      </c>
      <c r="G20" s="32">
        <f>748*0.8</f>
        <v>598.4</v>
      </c>
      <c r="H20" s="32">
        <f>704*0.8</f>
        <v>563.20000000000005</v>
      </c>
      <c r="M20" s="36"/>
    </row>
    <row r="21" spans="1:13">
      <c r="A21" s="29">
        <v>43658</v>
      </c>
      <c r="B21" s="30">
        <v>1129</v>
      </c>
      <c r="C21" s="31">
        <v>1084</v>
      </c>
      <c r="D21" s="32">
        <f>1030*0.8</f>
        <v>824</v>
      </c>
      <c r="E21" s="32">
        <f>974*0.8</f>
        <v>779.2</v>
      </c>
      <c r="F21" s="32">
        <f>928*0.8</f>
        <v>742.40000000000009</v>
      </c>
      <c r="G21" s="32">
        <f>894*0.8</f>
        <v>715.2</v>
      </c>
      <c r="M21" s="36"/>
    </row>
    <row r="22" spans="1:13">
      <c r="A22" s="29">
        <v>43665</v>
      </c>
      <c r="B22" s="30">
        <v>1298</v>
      </c>
      <c r="C22" s="31">
        <v>1218</v>
      </c>
      <c r="D22" s="32">
        <f>1175*0.8</f>
        <v>940</v>
      </c>
      <c r="E22" s="32">
        <f>1085*0.8</f>
        <v>868</v>
      </c>
      <c r="F22" s="32">
        <f>1005*0.8</f>
        <v>804</v>
      </c>
      <c r="M22" s="36"/>
    </row>
    <row r="23" spans="1:13">
      <c r="A23" s="29">
        <v>43672</v>
      </c>
      <c r="B23" s="30">
        <v>1420</v>
      </c>
      <c r="C23" s="31">
        <v>1350</v>
      </c>
      <c r="D23" s="32">
        <f>1297*0.8</f>
        <v>1037.6000000000001</v>
      </c>
      <c r="E23" s="32">
        <f>1207*0.8</f>
        <v>965.6</v>
      </c>
      <c r="M23" s="36"/>
    </row>
    <row r="24" spans="1:13">
      <c r="A24" s="29">
        <v>43680</v>
      </c>
      <c r="B24" s="30">
        <v>1670</v>
      </c>
      <c r="C24" s="31">
        <v>1587</v>
      </c>
      <c r="D24" s="32">
        <f>1502*0.8</f>
        <v>1201.6000000000001</v>
      </c>
      <c r="M24" s="36"/>
    </row>
    <row r="25" spans="1:13">
      <c r="A25" s="29">
        <v>43687</v>
      </c>
      <c r="B25" s="30">
        <v>1820</v>
      </c>
      <c r="C25" s="31">
        <v>1718</v>
      </c>
      <c r="M25" s="36"/>
    </row>
    <row r="26" spans="1:13">
      <c r="A26" s="37">
        <v>43694</v>
      </c>
      <c r="B26" s="38">
        <v>2018</v>
      </c>
      <c r="C26" s="39"/>
      <c r="D26" s="39"/>
      <c r="E26" s="39"/>
      <c r="F26" s="39"/>
      <c r="G26" s="39"/>
      <c r="H26" s="39"/>
      <c r="I26" s="39"/>
      <c r="J26" s="39"/>
      <c r="K26" s="39"/>
      <c r="L26" s="39"/>
      <c r="M26" s="40"/>
    </row>
    <row r="27" spans="1:13">
      <c r="A27" s="41"/>
    </row>
    <row r="28" spans="1:13">
      <c r="A28" s="41"/>
    </row>
    <row r="29" spans="1:13" ht="24.6">
      <c r="A29" s="181" t="s">
        <v>103</v>
      </c>
      <c r="B29" s="180"/>
      <c r="C29" s="180"/>
      <c r="D29" s="180"/>
      <c r="E29" s="180"/>
      <c r="F29" s="180"/>
      <c r="G29" s="180"/>
      <c r="H29" s="180"/>
      <c r="I29" s="180"/>
      <c r="J29" s="180"/>
      <c r="K29" s="180"/>
      <c r="L29" s="180"/>
      <c r="M29" s="156"/>
    </row>
    <row r="30" spans="1:13" ht="13.8">
      <c r="A30" s="42" t="s">
        <v>100</v>
      </c>
      <c r="B30" s="24" t="s">
        <v>101</v>
      </c>
      <c r="C30" s="179" t="s">
        <v>102</v>
      </c>
      <c r="D30" s="180"/>
      <c r="E30" s="180"/>
      <c r="F30" s="180"/>
      <c r="G30" s="180"/>
      <c r="H30" s="180"/>
      <c r="I30" s="180"/>
      <c r="J30" s="180"/>
      <c r="K30" s="180"/>
      <c r="L30" s="180"/>
      <c r="M30" s="156"/>
    </row>
    <row r="31" spans="1:13" ht="13.8">
      <c r="A31" s="43"/>
      <c r="B31" s="26"/>
      <c r="C31" s="44">
        <v>0</v>
      </c>
      <c r="D31" s="27">
        <v>1</v>
      </c>
      <c r="E31" s="27">
        <v>2</v>
      </c>
      <c r="F31" s="27">
        <v>3</v>
      </c>
      <c r="G31" s="27">
        <v>4</v>
      </c>
      <c r="H31" s="27">
        <v>5</v>
      </c>
      <c r="I31" s="27">
        <v>6</v>
      </c>
      <c r="J31" s="27">
        <v>7</v>
      </c>
      <c r="K31" s="27">
        <v>8</v>
      </c>
      <c r="L31" s="27">
        <v>9</v>
      </c>
      <c r="M31" s="28">
        <v>10</v>
      </c>
    </row>
    <row r="32" spans="1:13" ht="15.6">
      <c r="A32" s="45">
        <v>43617</v>
      </c>
      <c r="B32" s="46">
        <v>240</v>
      </c>
      <c r="C32" s="47">
        <v>0.99</v>
      </c>
      <c r="D32" s="48">
        <v>0.75</v>
      </c>
      <c r="E32" s="48">
        <v>0.72</v>
      </c>
      <c r="F32" s="48">
        <v>0.68</v>
      </c>
      <c r="G32" s="48">
        <v>0.64</v>
      </c>
      <c r="H32" s="48">
        <v>0.6</v>
      </c>
      <c r="I32" s="48">
        <v>0.54</v>
      </c>
      <c r="J32" s="48">
        <v>0.53</v>
      </c>
      <c r="K32" s="48">
        <v>0.5</v>
      </c>
      <c r="L32" s="48">
        <v>0.49</v>
      </c>
      <c r="M32" s="49">
        <v>0.48</v>
      </c>
    </row>
    <row r="33" spans="1:13" ht="15.6">
      <c r="A33" s="45">
        <v>43623</v>
      </c>
      <c r="B33" s="46">
        <v>324</v>
      </c>
      <c r="C33" s="50">
        <v>0.95</v>
      </c>
      <c r="D33" s="51">
        <v>0.7</v>
      </c>
      <c r="E33" s="51">
        <v>0.66</v>
      </c>
      <c r="F33" s="51">
        <v>0.6</v>
      </c>
      <c r="G33" s="51">
        <v>0.56999999999999995</v>
      </c>
      <c r="H33" s="51">
        <v>0.53</v>
      </c>
      <c r="I33" s="51">
        <v>0.48</v>
      </c>
      <c r="J33" s="51">
        <v>0.47</v>
      </c>
      <c r="K33" s="51">
        <v>0.45</v>
      </c>
      <c r="L33" s="51">
        <v>0.44</v>
      </c>
      <c r="M33" s="36"/>
    </row>
    <row r="34" spans="1:13" ht="15.6">
      <c r="A34" s="45">
        <v>43630</v>
      </c>
      <c r="B34" s="46">
        <v>425</v>
      </c>
      <c r="C34" s="50">
        <v>0.97</v>
      </c>
      <c r="D34" s="51">
        <v>0.74</v>
      </c>
      <c r="E34" s="51">
        <v>0.71</v>
      </c>
      <c r="F34" s="51">
        <v>0.66</v>
      </c>
      <c r="G34" s="51">
        <v>0.63</v>
      </c>
      <c r="H34" s="51">
        <v>0.56999999999999995</v>
      </c>
      <c r="I34" s="51">
        <v>0.55000000000000004</v>
      </c>
      <c r="J34" s="51">
        <v>0.54</v>
      </c>
      <c r="K34" s="51">
        <v>0.51</v>
      </c>
      <c r="M34" s="36"/>
    </row>
    <row r="35" spans="1:13" ht="15.6">
      <c r="A35" s="45">
        <v>43637</v>
      </c>
      <c r="B35" s="46">
        <v>634</v>
      </c>
      <c r="C35" s="50">
        <v>0.97</v>
      </c>
      <c r="D35" s="51">
        <v>0.74</v>
      </c>
      <c r="E35" s="51">
        <v>0.7</v>
      </c>
      <c r="F35" s="51">
        <v>0.67</v>
      </c>
      <c r="G35" s="51">
        <v>0.64</v>
      </c>
      <c r="H35" s="51">
        <v>0.61</v>
      </c>
      <c r="I35" s="51">
        <v>0.57999999999999996</v>
      </c>
      <c r="J35" s="51">
        <v>0.56000000000000005</v>
      </c>
      <c r="M35" s="36"/>
    </row>
    <row r="36" spans="1:13" ht="15.6">
      <c r="A36" s="45">
        <v>43644</v>
      </c>
      <c r="B36" s="46">
        <v>796</v>
      </c>
      <c r="C36" s="50">
        <v>0.97</v>
      </c>
      <c r="D36" s="51">
        <v>0.76</v>
      </c>
      <c r="E36" s="51">
        <v>0.73</v>
      </c>
      <c r="F36" s="51">
        <v>0.7</v>
      </c>
      <c r="G36" s="51">
        <v>0.65</v>
      </c>
      <c r="H36" s="51">
        <v>0.62</v>
      </c>
      <c r="I36" s="51">
        <v>0.59</v>
      </c>
      <c r="M36" s="36"/>
    </row>
    <row r="37" spans="1:13" ht="15.6">
      <c r="A37" s="45">
        <v>43651</v>
      </c>
      <c r="B37" s="46">
        <v>918</v>
      </c>
      <c r="C37" s="50">
        <v>0.96</v>
      </c>
      <c r="D37" s="51">
        <v>0.73</v>
      </c>
      <c r="E37" s="51">
        <v>0.7</v>
      </c>
      <c r="F37" s="51">
        <v>0.67</v>
      </c>
      <c r="G37" s="51">
        <v>0.65</v>
      </c>
      <c r="H37" s="51">
        <v>0.61</v>
      </c>
      <c r="M37" s="36"/>
    </row>
    <row r="38" spans="1:13" ht="15.6">
      <c r="A38" s="45">
        <v>43658</v>
      </c>
      <c r="B38" s="46">
        <v>1129</v>
      </c>
      <c r="C38" s="50">
        <v>0.96</v>
      </c>
      <c r="D38" s="51">
        <v>0.73</v>
      </c>
      <c r="E38" s="51">
        <v>0.69</v>
      </c>
      <c r="F38" s="51">
        <v>0.66</v>
      </c>
      <c r="G38" s="51">
        <v>0.63</v>
      </c>
      <c r="M38" s="36"/>
    </row>
    <row r="39" spans="1:13" ht="15.6">
      <c r="A39" s="45">
        <v>43665</v>
      </c>
      <c r="B39" s="46">
        <v>1298</v>
      </c>
      <c r="C39" s="50">
        <v>0.94</v>
      </c>
      <c r="D39" s="51">
        <v>0.72</v>
      </c>
      <c r="E39" s="51">
        <v>0.67</v>
      </c>
      <c r="F39" s="51">
        <v>0.62</v>
      </c>
      <c r="M39" s="36"/>
    </row>
    <row r="40" spans="1:13" ht="15.6">
      <c r="A40" s="45">
        <v>43672</v>
      </c>
      <c r="B40" s="46">
        <v>1420</v>
      </c>
      <c r="C40" s="50">
        <v>0.95</v>
      </c>
      <c r="D40" s="51">
        <v>0.73</v>
      </c>
      <c r="E40" s="51">
        <v>0.68</v>
      </c>
      <c r="M40" s="36"/>
    </row>
    <row r="41" spans="1:13" ht="15.6">
      <c r="A41" s="45">
        <v>43680</v>
      </c>
      <c r="B41" s="46">
        <v>1670</v>
      </c>
      <c r="C41" s="50">
        <v>0.95</v>
      </c>
      <c r="D41" s="51">
        <v>0.72</v>
      </c>
      <c r="M41" s="36"/>
    </row>
    <row r="42" spans="1:13" ht="15.6">
      <c r="A42" s="45">
        <v>43687</v>
      </c>
      <c r="B42" s="46">
        <v>1820</v>
      </c>
      <c r="C42" s="50">
        <v>0.94</v>
      </c>
      <c r="M42" s="36"/>
    </row>
    <row r="43" spans="1:13" ht="13.2">
      <c r="A43" s="52">
        <v>43694</v>
      </c>
      <c r="B43" s="38">
        <v>2018</v>
      </c>
      <c r="C43" s="53"/>
      <c r="M43" s="36"/>
    </row>
    <row r="44" spans="1:13" ht="13.2">
      <c r="A44" s="182" t="s">
        <v>104</v>
      </c>
      <c r="B44" s="142"/>
      <c r="C44" s="54">
        <v>0.96</v>
      </c>
      <c r="D44" s="54">
        <v>0.73</v>
      </c>
      <c r="E44" s="54">
        <v>0.7</v>
      </c>
      <c r="F44" s="54">
        <v>0.66</v>
      </c>
      <c r="G44" s="54">
        <v>0.63</v>
      </c>
      <c r="H44" s="54">
        <v>0.59</v>
      </c>
      <c r="I44" s="54">
        <v>0.55000000000000004</v>
      </c>
      <c r="J44" s="54">
        <v>0.53</v>
      </c>
      <c r="K44" s="54">
        <v>0.49</v>
      </c>
      <c r="L44" s="54">
        <v>0.46</v>
      </c>
      <c r="M44" s="54">
        <v>0.48</v>
      </c>
    </row>
    <row r="45" spans="1:13" ht="13.2">
      <c r="A45" s="41"/>
    </row>
    <row r="46" spans="1:13" ht="13.2">
      <c r="A46" s="41"/>
    </row>
  </sheetData>
  <mergeCells count="16">
    <mergeCell ref="C30:M30"/>
    <mergeCell ref="A4:I4"/>
    <mergeCell ref="A12:M12"/>
    <mergeCell ref="A9:I9"/>
    <mergeCell ref="A44:B44"/>
    <mergeCell ref="A6:I6"/>
    <mergeCell ref="A8:I8"/>
    <mergeCell ref="A29:M29"/>
    <mergeCell ref="C13:M13"/>
    <mergeCell ref="A7:I7"/>
    <mergeCell ref="A2:I2"/>
    <mergeCell ref="A11:I11"/>
    <mergeCell ref="A1:M1"/>
    <mergeCell ref="A10:I10"/>
    <mergeCell ref="A5:I5"/>
    <mergeCell ref="A3:I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42"/>
  <sheetViews>
    <sheetView showGridLines="0" topLeftCell="A25" workbookViewId="0">
      <selection sqref="A1:H1"/>
    </sheetView>
  </sheetViews>
  <sheetFormatPr defaultColWidth="12.6640625" defaultRowHeight="15.75" customHeight="1"/>
  <sheetData>
    <row r="1" spans="1:8" ht="15.75" customHeight="1">
      <c r="A1" s="186" t="s">
        <v>11</v>
      </c>
      <c r="B1" s="141"/>
      <c r="C1" s="141"/>
      <c r="D1" s="141"/>
      <c r="E1" s="141"/>
      <c r="F1" s="141"/>
      <c r="G1" s="141"/>
      <c r="H1" s="142"/>
    </row>
    <row r="2" spans="1:8">
      <c r="A2" s="169" t="s">
        <v>105</v>
      </c>
      <c r="B2" s="141"/>
      <c r="C2" s="141"/>
      <c r="D2" s="141"/>
      <c r="E2" s="141"/>
      <c r="F2" s="141"/>
      <c r="G2" s="141"/>
      <c r="H2" s="142"/>
    </row>
    <row r="3" spans="1:8">
      <c r="A3" s="169" t="s">
        <v>106</v>
      </c>
      <c r="B3" s="141"/>
      <c r="C3" s="141"/>
      <c r="D3" s="141"/>
      <c r="E3" s="141"/>
      <c r="F3" s="141"/>
      <c r="G3" s="141"/>
      <c r="H3" s="142"/>
    </row>
    <row r="4" spans="1:8">
      <c r="A4" s="184" t="s">
        <v>107</v>
      </c>
      <c r="B4" s="141"/>
      <c r="C4" s="141"/>
      <c r="D4" s="141"/>
      <c r="E4" s="141"/>
      <c r="F4" s="141"/>
      <c r="G4" s="141"/>
      <c r="H4" s="142"/>
    </row>
    <row r="5" spans="1:8">
      <c r="A5" s="184" t="s">
        <v>108</v>
      </c>
      <c r="B5" s="141"/>
      <c r="C5" s="141"/>
      <c r="D5" s="141"/>
      <c r="E5" s="141"/>
      <c r="F5" s="141"/>
      <c r="G5" s="141"/>
      <c r="H5" s="142"/>
    </row>
    <row r="6" spans="1:8">
      <c r="A6" s="184" t="s">
        <v>109</v>
      </c>
      <c r="B6" s="141"/>
      <c r="C6" s="141"/>
      <c r="D6" s="141"/>
      <c r="E6" s="141"/>
      <c r="F6" s="141"/>
      <c r="G6" s="141"/>
      <c r="H6" s="142"/>
    </row>
    <row r="8" spans="1:8">
      <c r="B8" s="184"/>
      <c r="C8" s="180"/>
      <c r="D8" s="180"/>
      <c r="E8" s="180"/>
      <c r="F8" s="180"/>
      <c r="G8" s="156"/>
    </row>
    <row r="9" spans="1:8">
      <c r="B9" s="157"/>
      <c r="C9" s="148"/>
      <c r="D9" s="148"/>
      <c r="E9" s="148"/>
      <c r="F9" s="148"/>
      <c r="G9" s="158"/>
    </row>
    <row r="10" spans="1:8">
      <c r="B10" s="157"/>
      <c r="C10" s="148"/>
      <c r="D10" s="148"/>
      <c r="E10" s="148"/>
      <c r="F10" s="148"/>
      <c r="G10" s="158"/>
    </row>
    <row r="11" spans="1:8">
      <c r="B11" s="157"/>
      <c r="C11" s="148"/>
      <c r="D11" s="148"/>
      <c r="E11" s="148"/>
      <c r="F11" s="148"/>
      <c r="G11" s="158"/>
    </row>
    <row r="12" spans="1:8">
      <c r="B12" s="157"/>
      <c r="C12" s="148"/>
      <c r="D12" s="148"/>
      <c r="E12" s="148"/>
      <c r="F12" s="148"/>
      <c r="G12" s="158"/>
    </row>
    <row r="13" spans="1:8">
      <c r="B13" s="157"/>
      <c r="C13" s="148"/>
      <c r="D13" s="148"/>
      <c r="E13" s="148"/>
      <c r="F13" s="148"/>
      <c r="G13" s="158"/>
    </row>
    <row r="14" spans="1:8">
      <c r="B14" s="157"/>
      <c r="C14" s="148"/>
      <c r="D14" s="148"/>
      <c r="E14" s="148"/>
      <c r="F14" s="148"/>
      <c r="G14" s="158"/>
    </row>
    <row r="15" spans="1:8">
      <c r="B15" s="157"/>
      <c r="C15" s="148"/>
      <c r="D15" s="148"/>
      <c r="E15" s="148"/>
      <c r="F15" s="148"/>
      <c r="G15" s="158"/>
    </row>
    <row r="16" spans="1:8">
      <c r="B16" s="157"/>
      <c r="C16" s="148"/>
      <c r="D16" s="148"/>
      <c r="E16" s="148"/>
      <c r="F16" s="148"/>
      <c r="G16" s="158"/>
    </row>
    <row r="17" spans="1:7">
      <c r="B17" s="157"/>
      <c r="C17" s="148"/>
      <c r="D17" s="148"/>
      <c r="E17" s="148"/>
      <c r="F17" s="148"/>
      <c r="G17" s="158"/>
    </row>
    <row r="18" spans="1:7">
      <c r="B18" s="157"/>
      <c r="C18" s="148"/>
      <c r="D18" s="148"/>
      <c r="E18" s="148"/>
      <c r="F18" s="148"/>
      <c r="G18" s="158"/>
    </row>
    <row r="19" spans="1:7">
      <c r="B19" s="157"/>
      <c r="C19" s="148"/>
      <c r="D19" s="148"/>
      <c r="E19" s="148"/>
      <c r="F19" s="148"/>
      <c r="G19" s="158"/>
    </row>
    <row r="20" spans="1:7">
      <c r="B20" s="157"/>
      <c r="C20" s="148"/>
      <c r="D20" s="148"/>
      <c r="E20" s="148"/>
      <c r="F20" s="148"/>
      <c r="G20" s="158"/>
    </row>
    <row r="21" spans="1:7">
      <c r="B21" s="157"/>
      <c r="C21" s="148"/>
      <c r="D21" s="148"/>
      <c r="E21" s="148"/>
      <c r="F21" s="148"/>
      <c r="G21" s="158"/>
    </row>
    <row r="22" spans="1:7">
      <c r="B22" s="157"/>
      <c r="C22" s="148"/>
      <c r="D22" s="148"/>
      <c r="E22" s="148"/>
      <c r="F22" s="148"/>
      <c r="G22" s="158"/>
    </row>
    <row r="23" spans="1:7">
      <c r="B23" s="157"/>
      <c r="C23" s="148"/>
      <c r="D23" s="148"/>
      <c r="E23" s="148"/>
      <c r="F23" s="148"/>
      <c r="G23" s="158"/>
    </row>
    <row r="24" spans="1:7">
      <c r="B24" s="157"/>
      <c r="C24" s="148"/>
      <c r="D24" s="148"/>
      <c r="E24" s="148"/>
      <c r="F24" s="148"/>
      <c r="G24" s="158"/>
    </row>
    <row r="25" spans="1:7">
      <c r="B25" s="157"/>
      <c r="C25" s="148"/>
      <c r="D25" s="148"/>
      <c r="E25" s="148"/>
      <c r="F25" s="148"/>
      <c r="G25" s="158"/>
    </row>
    <row r="26" spans="1:7">
      <c r="B26" s="157"/>
      <c r="C26" s="148"/>
      <c r="D26" s="148"/>
      <c r="E26" s="148"/>
      <c r="F26" s="148"/>
      <c r="G26" s="158"/>
    </row>
    <row r="27" spans="1:7">
      <c r="B27" s="157"/>
      <c r="C27" s="148"/>
      <c r="D27" s="148"/>
      <c r="E27" s="148"/>
      <c r="F27" s="148"/>
      <c r="G27" s="158"/>
    </row>
    <row r="28" spans="1:7">
      <c r="B28" s="157"/>
      <c r="C28" s="148"/>
      <c r="D28" s="148"/>
      <c r="E28" s="148"/>
      <c r="F28" s="148"/>
      <c r="G28" s="158"/>
    </row>
    <row r="29" spans="1:7" ht="13.2">
      <c r="B29" s="159"/>
      <c r="C29" s="138"/>
      <c r="D29" s="138"/>
      <c r="E29" s="138"/>
      <c r="F29" s="138"/>
      <c r="G29" s="139"/>
    </row>
    <row r="32" spans="1:7" ht="13.2">
      <c r="A32" s="185" t="s">
        <v>110</v>
      </c>
      <c r="B32" s="156"/>
      <c r="C32" s="164" t="s">
        <v>111</v>
      </c>
      <c r="D32" s="156"/>
    </row>
    <row r="33" spans="1:7" ht="13.2">
      <c r="A33" s="159"/>
      <c r="B33" s="139"/>
      <c r="C33" s="159"/>
      <c r="D33" s="139"/>
    </row>
    <row r="34" spans="1:7" ht="13.2">
      <c r="A34" s="55"/>
      <c r="B34" s="55"/>
      <c r="C34" s="55"/>
      <c r="D34" s="55"/>
    </row>
    <row r="35" spans="1:7" ht="13.2">
      <c r="A35" s="185" t="s">
        <v>112</v>
      </c>
      <c r="B35" s="156"/>
      <c r="C35" s="164" t="s">
        <v>113</v>
      </c>
      <c r="D35" s="156"/>
    </row>
    <row r="36" spans="1:7" ht="13.2">
      <c r="A36" s="159"/>
      <c r="B36" s="139"/>
      <c r="C36" s="159"/>
      <c r="D36" s="139"/>
    </row>
    <row r="37" spans="1:7" ht="13.2">
      <c r="A37" s="55"/>
      <c r="B37" s="55"/>
    </row>
    <row r="38" spans="1:7" ht="13.2">
      <c r="A38" s="185" t="s">
        <v>114</v>
      </c>
      <c r="B38" s="156"/>
      <c r="C38" s="164" t="s">
        <v>115</v>
      </c>
      <c r="D38" s="180"/>
      <c r="E38" s="180"/>
      <c r="F38" s="180"/>
      <c r="G38" s="156"/>
    </row>
    <row r="39" spans="1:7" ht="13.2">
      <c r="A39" s="159"/>
      <c r="B39" s="139"/>
      <c r="C39" s="159"/>
      <c r="D39" s="138"/>
      <c r="E39" s="138"/>
      <c r="F39" s="138"/>
      <c r="G39" s="139"/>
    </row>
    <row r="40" spans="1:7" ht="13.2">
      <c r="A40" s="55"/>
      <c r="B40" s="55"/>
      <c r="C40" s="55"/>
      <c r="D40" s="55"/>
      <c r="E40" s="55"/>
    </row>
    <row r="41" spans="1:7" ht="13.2">
      <c r="A41" s="185" t="s">
        <v>116</v>
      </c>
      <c r="B41" s="156"/>
      <c r="C41" s="164" t="s">
        <v>117</v>
      </c>
      <c r="D41" s="180"/>
      <c r="E41" s="180"/>
      <c r="F41" s="180"/>
      <c r="G41" s="156"/>
    </row>
    <row r="42" spans="1:7" ht="13.2">
      <c r="A42" s="159"/>
      <c r="B42" s="139"/>
      <c r="C42" s="159"/>
      <c r="D42" s="138"/>
      <c r="E42" s="138"/>
      <c r="F42" s="138"/>
      <c r="G42" s="139"/>
    </row>
  </sheetData>
  <mergeCells count="15">
    <mergeCell ref="A1:H1"/>
    <mergeCell ref="B8:G29"/>
    <mergeCell ref="C38:G39"/>
    <mergeCell ref="A2:H2"/>
    <mergeCell ref="C35:D36"/>
    <mergeCell ref="A35:B36"/>
    <mergeCell ref="A32:B33"/>
    <mergeCell ref="A38:B39"/>
    <mergeCell ref="A4:H4"/>
    <mergeCell ref="A6:H6"/>
    <mergeCell ref="A3:H3"/>
    <mergeCell ref="C41:G42"/>
    <mergeCell ref="A5:H5"/>
    <mergeCell ref="C32:D33"/>
    <mergeCell ref="A41:B42"/>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Q214"/>
  <sheetViews>
    <sheetView showGridLines="0" topLeftCell="A207" workbookViewId="0">
      <selection activeCell="A197" sqref="A197"/>
    </sheetView>
  </sheetViews>
  <sheetFormatPr defaultColWidth="12.6640625" defaultRowHeight="15.75" customHeight="1"/>
  <cols>
    <col min="1" max="1" width="15.44140625" customWidth="1"/>
  </cols>
  <sheetData>
    <row r="1" spans="1:17" ht="15.75" customHeight="1">
      <c r="A1" s="186" t="s">
        <v>118</v>
      </c>
      <c r="B1" s="141"/>
      <c r="C1" s="141"/>
      <c r="D1" s="141"/>
      <c r="E1" s="141"/>
      <c r="F1" s="141"/>
      <c r="G1" s="141"/>
      <c r="H1" s="141"/>
      <c r="I1" s="141"/>
      <c r="J1" s="141"/>
      <c r="K1" s="141"/>
      <c r="L1" s="141"/>
      <c r="M1" s="141"/>
      <c r="N1" s="141"/>
      <c r="O1" s="141"/>
      <c r="P1" s="141"/>
      <c r="Q1" s="142"/>
    </row>
    <row r="2" spans="1:17">
      <c r="A2" s="200" t="s">
        <v>119</v>
      </c>
      <c r="B2" s="141"/>
      <c r="C2" s="141"/>
      <c r="D2" s="141"/>
      <c r="E2" s="141"/>
      <c r="F2" s="141"/>
      <c r="G2" s="141"/>
      <c r="H2" s="141"/>
      <c r="I2" s="141"/>
      <c r="J2" s="141"/>
      <c r="K2" s="141"/>
      <c r="L2" s="141"/>
      <c r="M2" s="142"/>
    </row>
    <row r="3" spans="1:17">
      <c r="A3" s="199" t="s">
        <v>120</v>
      </c>
      <c r="B3" s="180"/>
      <c r="C3" s="180"/>
      <c r="D3" s="180"/>
      <c r="E3" s="180"/>
      <c r="F3" s="180"/>
      <c r="G3" s="180"/>
      <c r="H3" s="180"/>
      <c r="I3" s="180"/>
      <c r="J3" s="180"/>
      <c r="K3" s="180"/>
      <c r="L3" s="180"/>
      <c r="M3" s="156"/>
    </row>
    <row r="4" spans="1:17">
      <c r="A4" s="195" t="s">
        <v>121</v>
      </c>
      <c r="B4" s="180"/>
      <c r="C4" s="180"/>
      <c r="D4" s="180"/>
      <c r="E4" s="180"/>
      <c r="F4" s="180"/>
      <c r="G4" s="180"/>
      <c r="H4" s="180"/>
      <c r="I4" s="180"/>
      <c r="J4" s="180"/>
      <c r="K4" s="180"/>
      <c r="L4" s="180"/>
      <c r="M4" s="156"/>
    </row>
    <row r="5" spans="1:17">
      <c r="A5" s="192" t="s">
        <v>122</v>
      </c>
      <c r="B5" s="148"/>
      <c r="C5" s="148"/>
      <c r="D5" s="148"/>
      <c r="E5" s="148"/>
      <c r="F5" s="148"/>
      <c r="G5" s="148"/>
      <c r="H5" s="148"/>
      <c r="I5" s="148"/>
      <c r="J5" s="148"/>
      <c r="K5" s="148"/>
      <c r="L5" s="148"/>
      <c r="M5" s="158"/>
    </row>
    <row r="6" spans="1:17" ht="13.2">
      <c r="A6" s="192" t="s">
        <v>123</v>
      </c>
      <c r="B6" s="148"/>
      <c r="C6" s="148"/>
      <c r="D6" s="148"/>
      <c r="E6" s="148"/>
      <c r="F6" s="148"/>
      <c r="G6" s="148"/>
      <c r="H6" s="148"/>
      <c r="I6" s="148"/>
      <c r="J6" s="148"/>
      <c r="K6" s="148"/>
      <c r="L6" s="148"/>
      <c r="M6" s="158"/>
    </row>
    <row r="7" spans="1:17">
      <c r="A7" s="192" t="s">
        <v>124</v>
      </c>
      <c r="B7" s="148"/>
      <c r="C7" s="148"/>
      <c r="D7" s="148"/>
      <c r="E7" s="148"/>
      <c r="F7" s="148"/>
      <c r="G7" s="148"/>
      <c r="H7" s="148"/>
      <c r="I7" s="148"/>
      <c r="J7" s="148"/>
      <c r="K7" s="148"/>
      <c r="L7" s="148"/>
      <c r="M7" s="158"/>
    </row>
    <row r="8" spans="1:17">
      <c r="A8" s="194" t="s">
        <v>125</v>
      </c>
      <c r="B8" s="138"/>
      <c r="C8" s="138"/>
      <c r="D8" s="138"/>
      <c r="E8" s="138"/>
      <c r="F8" s="138"/>
      <c r="G8" s="138"/>
      <c r="H8" s="138"/>
      <c r="I8" s="138"/>
      <c r="J8" s="138"/>
      <c r="K8" s="138"/>
      <c r="L8" s="138"/>
      <c r="M8" s="139"/>
    </row>
    <row r="9" spans="1:17">
      <c r="A9" s="198" t="s">
        <v>126</v>
      </c>
      <c r="B9" s="141"/>
      <c r="C9" s="141"/>
      <c r="D9" s="141"/>
      <c r="E9" s="141"/>
      <c r="F9" s="141"/>
      <c r="G9" s="141"/>
      <c r="H9" s="141"/>
      <c r="I9" s="141"/>
      <c r="J9" s="141"/>
      <c r="K9" s="141"/>
      <c r="L9" s="141"/>
      <c r="M9" s="142"/>
    </row>
    <row r="10" spans="1:17">
      <c r="A10" s="56"/>
      <c r="B10" s="56"/>
      <c r="D10" s="22"/>
    </row>
    <row r="11" spans="1:17">
      <c r="A11" s="191"/>
      <c r="B11" s="156"/>
      <c r="C11" s="193" t="s">
        <v>127</v>
      </c>
      <c r="D11" s="141"/>
      <c r="E11" s="141"/>
      <c r="F11" s="141"/>
      <c r="G11" s="141"/>
      <c r="H11" s="141"/>
      <c r="I11" s="141"/>
      <c r="J11" s="141"/>
      <c r="K11" s="141"/>
      <c r="L11" s="141"/>
      <c r="M11" s="141"/>
      <c r="N11" s="141"/>
      <c r="O11" s="141"/>
      <c r="P11" s="141"/>
      <c r="Q11" s="142"/>
    </row>
    <row r="12" spans="1:17">
      <c r="A12" s="159"/>
      <c r="B12" s="139"/>
      <c r="C12" s="193" t="s">
        <v>128</v>
      </c>
      <c r="D12" s="141"/>
      <c r="E12" s="141"/>
      <c r="F12" s="141"/>
      <c r="G12" s="141"/>
      <c r="H12" s="141"/>
      <c r="I12" s="141"/>
      <c r="J12" s="141"/>
      <c r="K12" s="141"/>
      <c r="L12" s="141"/>
      <c r="M12" s="141"/>
      <c r="N12" s="141"/>
      <c r="O12" s="141"/>
      <c r="P12" s="141"/>
      <c r="Q12" s="142"/>
    </row>
    <row r="13" spans="1:17">
      <c r="A13" s="57" t="s">
        <v>129</v>
      </c>
      <c r="B13" s="58" t="s">
        <v>130</v>
      </c>
      <c r="C13" s="59">
        <v>0</v>
      </c>
      <c r="D13" s="59">
        <v>1</v>
      </c>
      <c r="E13" s="59">
        <v>2</v>
      </c>
      <c r="F13" s="59">
        <v>3</v>
      </c>
      <c r="G13" s="59">
        <v>4</v>
      </c>
      <c r="H13" s="59">
        <v>5</v>
      </c>
      <c r="I13" s="59">
        <v>6</v>
      </c>
      <c r="J13" s="59">
        <v>7</v>
      </c>
      <c r="K13" s="59">
        <v>8</v>
      </c>
      <c r="L13" s="59">
        <v>9</v>
      </c>
      <c r="M13" s="59">
        <v>10</v>
      </c>
      <c r="N13" s="59">
        <v>11</v>
      </c>
      <c r="O13" s="59">
        <v>12</v>
      </c>
      <c r="P13" s="59">
        <v>13</v>
      </c>
      <c r="Q13" s="59">
        <v>14</v>
      </c>
    </row>
    <row r="14" spans="1:17" ht="15.75" customHeight="1">
      <c r="A14" s="60" t="s">
        <v>131</v>
      </c>
      <c r="B14" s="61">
        <f>SUM(B15:B22)</f>
        <v>920.6</v>
      </c>
      <c r="C14" s="62">
        <v>870</v>
      </c>
      <c r="D14" s="63">
        <f>C14*0.92</f>
        <v>800.40000000000009</v>
      </c>
      <c r="E14" s="63">
        <f>D14*0.93</f>
        <v>744.37200000000007</v>
      </c>
      <c r="F14" s="63">
        <f>E14*0.93</f>
        <v>692.26596000000006</v>
      </c>
      <c r="G14" s="63">
        <f>F14*0.98</f>
        <v>678.4206408</v>
      </c>
      <c r="H14" s="63">
        <f>G14*0.94</f>
        <v>637.71540235199996</v>
      </c>
      <c r="I14" s="63">
        <f>H14*0.98</f>
        <v>624.96109430495994</v>
      </c>
      <c r="J14" s="63">
        <f>I14*0.92</f>
        <v>574.96420676056312</v>
      </c>
      <c r="K14" s="63">
        <f>J14*0.9</f>
        <v>517.46778608450677</v>
      </c>
      <c r="L14" s="63">
        <f>K14*0.98</f>
        <v>507.11843036281664</v>
      </c>
      <c r="M14" s="63">
        <f>L14*0.99</f>
        <v>502.04724605918847</v>
      </c>
      <c r="N14" s="63">
        <f t="shared" ref="N14:N22" si="0">M14*0.95</f>
        <v>476.94488375622905</v>
      </c>
      <c r="O14" s="63">
        <f>N14*0.91</f>
        <v>434.01984421816843</v>
      </c>
      <c r="P14" s="63">
        <f>O14*0.9</f>
        <v>390.61785979635158</v>
      </c>
      <c r="Q14" s="64">
        <f>P14*0.98</f>
        <v>382.80550260042452</v>
      </c>
    </row>
    <row r="15" spans="1:17" ht="15.75" customHeight="1">
      <c r="A15" s="65" t="s">
        <v>132</v>
      </c>
      <c r="B15" s="66">
        <f>310*0.9</f>
        <v>279</v>
      </c>
      <c r="C15" s="67">
        <v>262</v>
      </c>
      <c r="D15" s="35">
        <f>C15*0.93</f>
        <v>243.66000000000003</v>
      </c>
      <c r="E15" s="35">
        <f t="shared" ref="E15:G22" si="1">D15*0.95</f>
        <v>231.477</v>
      </c>
      <c r="F15" s="35">
        <f t="shared" si="1"/>
        <v>219.90314999999998</v>
      </c>
      <c r="G15" s="35">
        <f t="shared" si="1"/>
        <v>208.90799249999998</v>
      </c>
      <c r="H15" s="35">
        <f>G15*0.9</f>
        <v>188.01719324999999</v>
      </c>
      <c r="I15" s="35">
        <f>H15*0.94</f>
        <v>176.73616165499999</v>
      </c>
      <c r="J15" s="35">
        <f t="shared" ref="J15:M22" si="2">I15*0.95</f>
        <v>167.89935357224999</v>
      </c>
      <c r="K15" s="35">
        <f t="shared" si="2"/>
        <v>159.50438589363748</v>
      </c>
      <c r="L15" s="35">
        <f t="shared" si="2"/>
        <v>151.52916659895558</v>
      </c>
      <c r="M15" s="35">
        <f t="shared" si="2"/>
        <v>143.95270826900779</v>
      </c>
      <c r="N15" s="35">
        <f t="shared" si="0"/>
        <v>136.75507285555739</v>
      </c>
      <c r="O15" s="35">
        <f t="shared" ref="O15:Q22" si="3">N15*0.95</f>
        <v>129.91731921277952</v>
      </c>
      <c r="P15" s="35">
        <f t="shared" si="3"/>
        <v>123.42145325214054</v>
      </c>
      <c r="Q15" s="34">
        <f t="shared" si="3"/>
        <v>117.25038058953351</v>
      </c>
    </row>
    <row r="16" spans="1:17" ht="15.75" customHeight="1">
      <c r="A16" s="65" t="s">
        <v>133</v>
      </c>
      <c r="B16" s="66">
        <f>206*0.8</f>
        <v>164.8</v>
      </c>
      <c r="C16" s="67">
        <v>162</v>
      </c>
      <c r="D16" s="35">
        <f>C16*0.95</f>
        <v>153.9</v>
      </c>
      <c r="E16" s="35">
        <f t="shared" si="1"/>
        <v>146.20500000000001</v>
      </c>
      <c r="F16" s="35">
        <f t="shared" si="1"/>
        <v>138.89475000000002</v>
      </c>
      <c r="G16" s="35">
        <f t="shared" si="1"/>
        <v>131.95001250000001</v>
      </c>
      <c r="H16" s="35">
        <f t="shared" ref="H16:I22" si="4">G16*0.95</f>
        <v>125.352511875</v>
      </c>
      <c r="I16" s="35">
        <f t="shared" si="4"/>
        <v>119.08488628124999</v>
      </c>
      <c r="J16" s="35">
        <f t="shared" si="2"/>
        <v>113.13064196718749</v>
      </c>
      <c r="K16" s="35">
        <f t="shared" si="2"/>
        <v>107.47410986882811</v>
      </c>
      <c r="L16" s="35">
        <f t="shared" si="2"/>
        <v>102.1004043753867</v>
      </c>
      <c r="M16" s="35">
        <f t="shared" si="2"/>
        <v>96.995384156617362</v>
      </c>
      <c r="N16" s="35">
        <f t="shared" si="0"/>
        <v>92.145614948786488</v>
      </c>
      <c r="O16" s="35">
        <f t="shared" si="3"/>
        <v>87.538334201347155</v>
      </c>
      <c r="P16" s="35">
        <f t="shared" si="3"/>
        <v>83.161417491279792</v>
      </c>
      <c r="Q16" s="34">
        <f t="shared" si="3"/>
        <v>79.003346616715802</v>
      </c>
    </row>
    <row r="17" spans="1:17" ht="15.75" customHeight="1">
      <c r="A17" s="65" t="s">
        <v>134</v>
      </c>
      <c r="B17" s="66">
        <f>172*0.8</f>
        <v>137.6</v>
      </c>
      <c r="C17" s="67">
        <v>132</v>
      </c>
      <c r="D17" s="35">
        <f>C17*0.92</f>
        <v>121.44000000000001</v>
      </c>
      <c r="E17" s="35">
        <f t="shared" si="1"/>
        <v>115.36800000000001</v>
      </c>
      <c r="F17" s="35">
        <f t="shared" si="1"/>
        <v>109.59960000000001</v>
      </c>
      <c r="G17" s="35">
        <f t="shared" si="1"/>
        <v>104.11962</v>
      </c>
      <c r="H17" s="35">
        <f t="shared" si="4"/>
        <v>98.913638999999989</v>
      </c>
      <c r="I17" s="35">
        <f t="shared" si="4"/>
        <v>93.967957049999981</v>
      </c>
      <c r="J17" s="35">
        <f t="shared" si="2"/>
        <v>89.269559197499973</v>
      </c>
      <c r="K17" s="35">
        <f t="shared" si="2"/>
        <v>84.806081237624966</v>
      </c>
      <c r="L17" s="35">
        <f t="shared" si="2"/>
        <v>80.565777175743719</v>
      </c>
      <c r="M17" s="35">
        <f t="shared" si="2"/>
        <v>76.537488316956527</v>
      </c>
      <c r="N17" s="35">
        <f t="shared" si="0"/>
        <v>72.710613901108701</v>
      </c>
      <c r="O17" s="35">
        <f t="shared" si="3"/>
        <v>69.075083206053264</v>
      </c>
      <c r="P17" s="35">
        <f t="shared" si="3"/>
        <v>65.621329045750599</v>
      </c>
      <c r="Q17" s="34">
        <f t="shared" si="3"/>
        <v>62.340262593463066</v>
      </c>
    </row>
    <row r="18" spans="1:17" ht="15.75" customHeight="1">
      <c r="A18" s="65" t="s">
        <v>135</v>
      </c>
      <c r="B18" s="66">
        <f>138*0.8</f>
        <v>110.4</v>
      </c>
      <c r="C18" s="67">
        <v>106</v>
      </c>
      <c r="D18" s="35">
        <f>C18*0.97</f>
        <v>102.82</v>
      </c>
      <c r="E18" s="35">
        <f t="shared" si="1"/>
        <v>97.678999999999988</v>
      </c>
      <c r="F18" s="35">
        <f t="shared" si="1"/>
        <v>92.795049999999989</v>
      </c>
      <c r="G18" s="35">
        <f t="shared" si="1"/>
        <v>88.155297499999989</v>
      </c>
      <c r="H18" s="35">
        <f t="shared" si="4"/>
        <v>83.747532624999991</v>
      </c>
      <c r="I18" s="35">
        <f t="shared" si="4"/>
        <v>79.560155993749987</v>
      </c>
      <c r="J18" s="35">
        <f t="shared" si="2"/>
        <v>75.582148194062484</v>
      </c>
      <c r="K18" s="35">
        <f t="shared" si="2"/>
        <v>71.803040784359354</v>
      </c>
      <c r="L18" s="35">
        <f t="shared" si="2"/>
        <v>68.212888745141385</v>
      </c>
      <c r="M18" s="35">
        <f t="shared" si="2"/>
        <v>64.802244307884308</v>
      </c>
      <c r="N18" s="35">
        <f t="shared" si="0"/>
        <v>61.562132092490089</v>
      </c>
      <c r="O18" s="35">
        <f t="shared" si="3"/>
        <v>58.48402548786558</v>
      </c>
      <c r="P18" s="35">
        <f t="shared" si="3"/>
        <v>55.559824213472297</v>
      </c>
      <c r="Q18" s="34">
        <f t="shared" si="3"/>
        <v>52.781833002798678</v>
      </c>
    </row>
    <row r="19" spans="1:17" ht="15.75" customHeight="1">
      <c r="A19" s="65" t="s">
        <v>136</v>
      </c>
      <c r="B19" s="66">
        <f>112*0.8</f>
        <v>89.600000000000009</v>
      </c>
      <c r="C19" s="67">
        <v>72</v>
      </c>
      <c r="D19" s="35">
        <f>C19*0.93</f>
        <v>66.960000000000008</v>
      </c>
      <c r="E19" s="35">
        <f t="shared" si="1"/>
        <v>63.612000000000002</v>
      </c>
      <c r="F19" s="35">
        <f t="shared" si="1"/>
        <v>60.431399999999996</v>
      </c>
      <c r="G19" s="35">
        <f t="shared" si="1"/>
        <v>57.409829999999992</v>
      </c>
      <c r="H19" s="35">
        <f t="shared" si="4"/>
        <v>54.539338499999992</v>
      </c>
      <c r="I19" s="35">
        <f t="shared" si="4"/>
        <v>51.812371574999993</v>
      </c>
      <c r="J19" s="35">
        <f t="shared" si="2"/>
        <v>49.22175299624999</v>
      </c>
      <c r="K19" s="35">
        <f t="shared" si="2"/>
        <v>46.760665346437484</v>
      </c>
      <c r="L19" s="35">
        <f t="shared" si="2"/>
        <v>44.422632079115608</v>
      </c>
      <c r="M19" s="35">
        <f t="shared" si="2"/>
        <v>42.201500475159825</v>
      </c>
      <c r="N19" s="35">
        <f t="shared" si="0"/>
        <v>40.091425451401832</v>
      </c>
      <c r="O19" s="35">
        <f t="shared" si="3"/>
        <v>38.086854178831736</v>
      </c>
      <c r="P19" s="35">
        <f t="shared" si="3"/>
        <v>36.182511469890144</v>
      </c>
      <c r="Q19" s="34">
        <f t="shared" si="3"/>
        <v>34.373385896395632</v>
      </c>
    </row>
    <row r="20" spans="1:17" ht="15.75" customHeight="1">
      <c r="A20" s="65" t="s">
        <v>137</v>
      </c>
      <c r="B20" s="66">
        <f>92*0.8</f>
        <v>73.600000000000009</v>
      </c>
      <c r="C20" s="67">
        <v>68</v>
      </c>
      <c r="D20" s="35">
        <f>C20*0.95</f>
        <v>64.599999999999994</v>
      </c>
      <c r="E20" s="35">
        <f t="shared" si="1"/>
        <v>61.36999999999999</v>
      </c>
      <c r="F20" s="35">
        <f t="shared" si="1"/>
        <v>58.30149999999999</v>
      </c>
      <c r="G20" s="35">
        <f t="shared" si="1"/>
        <v>55.386424999999988</v>
      </c>
      <c r="H20" s="35">
        <f t="shared" si="4"/>
        <v>52.617103749999984</v>
      </c>
      <c r="I20" s="35">
        <f t="shared" si="4"/>
        <v>49.986248562499981</v>
      </c>
      <c r="J20" s="35">
        <f t="shared" si="2"/>
        <v>47.486936134374979</v>
      </c>
      <c r="K20" s="35">
        <f t="shared" si="2"/>
        <v>45.112589327656231</v>
      </c>
      <c r="L20" s="35">
        <f t="shared" si="2"/>
        <v>42.856959861273417</v>
      </c>
      <c r="M20" s="35">
        <f t="shared" si="2"/>
        <v>40.714111868209741</v>
      </c>
      <c r="N20" s="35">
        <f t="shared" si="0"/>
        <v>38.678406274799251</v>
      </c>
      <c r="O20" s="35">
        <f t="shared" si="3"/>
        <v>36.74448596105929</v>
      </c>
      <c r="P20" s="35">
        <f t="shared" si="3"/>
        <v>34.907261663006324</v>
      </c>
      <c r="Q20" s="34">
        <f t="shared" si="3"/>
        <v>33.161898579856008</v>
      </c>
    </row>
    <row r="21" spans="1:17" ht="15.75" customHeight="1">
      <c r="A21" s="65" t="s">
        <v>138</v>
      </c>
      <c r="B21" s="66">
        <f>58*0.8</f>
        <v>46.400000000000006</v>
      </c>
      <c r="C21" s="67">
        <v>42</v>
      </c>
      <c r="D21" s="35">
        <f>C21*0.94</f>
        <v>39.479999999999997</v>
      </c>
      <c r="E21" s="35">
        <f t="shared" si="1"/>
        <v>37.505999999999993</v>
      </c>
      <c r="F21" s="35">
        <f t="shared" si="1"/>
        <v>35.63069999999999</v>
      </c>
      <c r="G21" s="35">
        <f t="shared" si="1"/>
        <v>33.849164999999992</v>
      </c>
      <c r="H21" s="35">
        <f t="shared" si="4"/>
        <v>32.156706749999991</v>
      </c>
      <c r="I21" s="35">
        <f t="shared" si="4"/>
        <v>30.548871412499988</v>
      </c>
      <c r="J21" s="35">
        <f t="shared" si="2"/>
        <v>29.021427841874988</v>
      </c>
      <c r="K21" s="35">
        <f t="shared" si="2"/>
        <v>27.570356449781237</v>
      </c>
      <c r="L21" s="35">
        <f t="shared" si="2"/>
        <v>26.191838627292174</v>
      </c>
      <c r="M21" s="35">
        <f t="shared" si="2"/>
        <v>24.882246695927563</v>
      </c>
      <c r="N21" s="35">
        <f t="shared" si="0"/>
        <v>23.638134361131183</v>
      </c>
      <c r="O21" s="35">
        <f t="shared" si="3"/>
        <v>22.456227643074623</v>
      </c>
      <c r="P21" s="35">
        <f t="shared" si="3"/>
        <v>21.333416260920892</v>
      </c>
      <c r="Q21" s="34">
        <f t="shared" si="3"/>
        <v>20.266745447874847</v>
      </c>
    </row>
    <row r="22" spans="1:17" ht="15.75" customHeight="1">
      <c r="A22" s="65" t="s">
        <v>139</v>
      </c>
      <c r="B22" s="66">
        <f>24*0.8</f>
        <v>19.200000000000003</v>
      </c>
      <c r="C22" s="68">
        <v>17</v>
      </c>
      <c r="D22" s="69">
        <f>C22*0.96</f>
        <v>16.32</v>
      </c>
      <c r="E22" s="69">
        <f t="shared" si="1"/>
        <v>15.504</v>
      </c>
      <c r="F22" s="69">
        <f t="shared" si="1"/>
        <v>14.7288</v>
      </c>
      <c r="G22" s="69">
        <f t="shared" si="1"/>
        <v>13.99236</v>
      </c>
      <c r="H22" s="69">
        <f t="shared" si="4"/>
        <v>13.292741999999999</v>
      </c>
      <c r="I22" s="69">
        <f t="shared" si="4"/>
        <v>12.628104899999999</v>
      </c>
      <c r="J22" s="69">
        <f t="shared" si="2"/>
        <v>11.996699654999999</v>
      </c>
      <c r="K22" s="69">
        <f t="shared" si="2"/>
        <v>11.396864672249999</v>
      </c>
      <c r="L22" s="69">
        <f t="shared" si="2"/>
        <v>10.827021438637498</v>
      </c>
      <c r="M22" s="69">
        <f t="shared" si="2"/>
        <v>10.285670366705622</v>
      </c>
      <c r="N22" s="69">
        <f t="shared" si="0"/>
        <v>9.7713868483703408</v>
      </c>
      <c r="O22" s="69">
        <f t="shared" si="3"/>
        <v>9.2828175059518241</v>
      </c>
      <c r="P22" s="69">
        <f t="shared" si="3"/>
        <v>8.8186766306542328</v>
      </c>
      <c r="Q22" s="70">
        <f t="shared" si="3"/>
        <v>8.3777427991215205</v>
      </c>
    </row>
    <row r="25" spans="1:17">
      <c r="C25" s="22"/>
      <c r="D25" s="22"/>
      <c r="E25" s="22"/>
      <c r="F25" s="22"/>
      <c r="G25" s="22"/>
      <c r="H25" s="22"/>
      <c r="I25" s="22"/>
      <c r="J25" s="22"/>
      <c r="K25" s="22"/>
      <c r="L25" s="22"/>
      <c r="M25" s="22"/>
      <c r="N25" s="22"/>
      <c r="O25" s="22"/>
      <c r="P25" s="22"/>
      <c r="Q25" s="22"/>
    </row>
    <row r="26" spans="1:17">
      <c r="A26" s="191"/>
      <c r="B26" s="156"/>
      <c r="C26" s="193" t="s">
        <v>140</v>
      </c>
      <c r="D26" s="141"/>
      <c r="E26" s="141"/>
      <c r="F26" s="141"/>
      <c r="G26" s="141"/>
      <c r="H26" s="141"/>
      <c r="I26" s="141"/>
      <c r="J26" s="141"/>
      <c r="K26" s="141"/>
      <c r="L26" s="141"/>
      <c r="M26" s="141"/>
      <c r="N26" s="141"/>
      <c r="O26" s="141"/>
      <c r="P26" s="141"/>
      <c r="Q26" s="142"/>
    </row>
    <row r="27" spans="1:17">
      <c r="A27" s="159"/>
      <c r="B27" s="139"/>
      <c r="C27" s="193" t="s">
        <v>128</v>
      </c>
      <c r="D27" s="141"/>
      <c r="E27" s="141"/>
      <c r="F27" s="141"/>
      <c r="G27" s="141"/>
      <c r="H27" s="141"/>
      <c r="I27" s="141"/>
      <c r="J27" s="141"/>
      <c r="K27" s="141"/>
      <c r="L27" s="141"/>
      <c r="M27" s="141"/>
      <c r="N27" s="141"/>
      <c r="O27" s="141"/>
      <c r="P27" s="141"/>
      <c r="Q27" s="142"/>
    </row>
    <row r="28" spans="1:17">
      <c r="A28" s="57" t="s">
        <v>129</v>
      </c>
      <c r="B28" s="58" t="s">
        <v>130</v>
      </c>
      <c r="C28" s="59">
        <v>0</v>
      </c>
      <c r="D28" s="59">
        <v>1</v>
      </c>
      <c r="E28" s="59">
        <v>2</v>
      </c>
      <c r="F28" s="59">
        <v>3</v>
      </c>
      <c r="G28" s="59">
        <v>4</v>
      </c>
      <c r="H28" s="59">
        <v>5</v>
      </c>
      <c r="I28" s="59">
        <v>6</v>
      </c>
      <c r="J28" s="59">
        <v>7</v>
      </c>
      <c r="K28" s="59">
        <v>8</v>
      </c>
      <c r="L28" s="59">
        <v>9</v>
      </c>
      <c r="M28" s="59">
        <v>10</v>
      </c>
      <c r="N28" s="59">
        <v>11</v>
      </c>
      <c r="O28" s="59">
        <v>12</v>
      </c>
      <c r="P28" s="59">
        <v>13</v>
      </c>
      <c r="Q28" s="59">
        <v>14</v>
      </c>
    </row>
    <row r="29" spans="1:17" ht="15">
      <c r="A29" s="60" t="s">
        <v>131</v>
      </c>
      <c r="B29" s="66">
        <f>SUM(B30:B37)</f>
        <v>920.6</v>
      </c>
      <c r="C29" s="71">
        <v>0.95</v>
      </c>
      <c r="D29" s="72">
        <v>0.87</v>
      </c>
      <c r="E29" s="72">
        <v>0.81</v>
      </c>
      <c r="F29" s="72">
        <v>0.75</v>
      </c>
      <c r="G29" s="72">
        <v>0.74</v>
      </c>
      <c r="H29" s="72">
        <v>0.69</v>
      </c>
      <c r="I29" s="72">
        <v>0.68</v>
      </c>
      <c r="J29" s="72">
        <v>0.62</v>
      </c>
      <c r="K29" s="72">
        <v>0.56000000000000005</v>
      </c>
      <c r="L29" s="72">
        <v>0.55000000000000004</v>
      </c>
      <c r="M29" s="72">
        <v>0.55000000000000004</v>
      </c>
      <c r="N29" s="72">
        <v>0.52</v>
      </c>
      <c r="O29" s="72">
        <v>0.47</v>
      </c>
      <c r="P29" s="72">
        <v>0.42</v>
      </c>
      <c r="Q29" s="73">
        <v>0.42</v>
      </c>
    </row>
    <row r="30" spans="1:17" ht="15">
      <c r="A30" s="65" t="s">
        <v>132</v>
      </c>
      <c r="B30" s="66">
        <f>310*0.9</f>
        <v>279</v>
      </c>
      <c r="C30" s="74">
        <v>0.94</v>
      </c>
      <c r="D30" s="75">
        <v>0.87</v>
      </c>
      <c r="E30" s="75">
        <v>0.83</v>
      </c>
      <c r="F30" s="75">
        <v>0.79</v>
      </c>
      <c r="G30" s="75">
        <v>0.75</v>
      </c>
      <c r="H30" s="75">
        <v>0.67</v>
      </c>
      <c r="I30" s="75">
        <v>0.63</v>
      </c>
      <c r="J30" s="75">
        <v>0.6</v>
      </c>
      <c r="K30" s="75">
        <v>0.56999999999999995</v>
      </c>
      <c r="L30" s="75">
        <v>0.54</v>
      </c>
      <c r="M30" s="75">
        <v>0.52</v>
      </c>
      <c r="N30" s="75">
        <v>0.49</v>
      </c>
      <c r="O30" s="75">
        <v>0.47</v>
      </c>
      <c r="P30" s="75">
        <v>0.44</v>
      </c>
      <c r="Q30" s="76">
        <v>0.42</v>
      </c>
    </row>
    <row r="31" spans="1:17" ht="15">
      <c r="A31" s="65" t="s">
        <v>133</v>
      </c>
      <c r="B31" s="66">
        <f>206*0.8</f>
        <v>164.8</v>
      </c>
      <c r="C31" s="74">
        <v>0.98</v>
      </c>
      <c r="D31" s="75">
        <v>0.93</v>
      </c>
      <c r="E31" s="75">
        <v>0.89</v>
      </c>
      <c r="F31" s="75">
        <v>0.84</v>
      </c>
      <c r="G31" s="75">
        <v>0.8</v>
      </c>
      <c r="H31" s="75">
        <v>0.76</v>
      </c>
      <c r="I31" s="75">
        <v>0.72</v>
      </c>
      <c r="J31" s="75">
        <v>0.69</v>
      </c>
      <c r="K31" s="75">
        <v>0.65</v>
      </c>
      <c r="L31" s="75">
        <v>0.62</v>
      </c>
      <c r="M31" s="75">
        <v>0.59</v>
      </c>
      <c r="N31" s="75">
        <v>0.56000000000000005</v>
      </c>
      <c r="O31" s="75">
        <v>0.53</v>
      </c>
      <c r="P31" s="75">
        <v>0.5</v>
      </c>
      <c r="Q31" s="76">
        <v>0.48</v>
      </c>
    </row>
    <row r="32" spans="1:17" ht="15">
      <c r="A32" s="65" t="s">
        <v>134</v>
      </c>
      <c r="B32" s="66">
        <f>172*0.8</f>
        <v>137.6</v>
      </c>
      <c r="C32" s="74">
        <v>0.96</v>
      </c>
      <c r="D32" s="75">
        <v>0.88</v>
      </c>
      <c r="E32" s="75">
        <v>0.84</v>
      </c>
      <c r="F32" s="75">
        <v>0.8</v>
      </c>
      <c r="G32" s="75">
        <v>0.76</v>
      </c>
      <c r="H32" s="75">
        <v>0.72</v>
      </c>
      <c r="I32" s="75">
        <v>0.68</v>
      </c>
      <c r="J32" s="75">
        <v>0.65</v>
      </c>
      <c r="K32" s="75">
        <v>0.62</v>
      </c>
      <c r="L32" s="75">
        <v>0.59</v>
      </c>
      <c r="M32" s="75">
        <v>0.56000000000000005</v>
      </c>
      <c r="N32" s="75">
        <v>0.53</v>
      </c>
      <c r="O32" s="75">
        <v>0.5</v>
      </c>
      <c r="P32" s="75">
        <v>0.48</v>
      </c>
      <c r="Q32" s="76">
        <v>0.45</v>
      </c>
    </row>
    <row r="33" spans="1:17" ht="15">
      <c r="A33" s="65" t="s">
        <v>135</v>
      </c>
      <c r="B33" s="66">
        <f>138*0.8</f>
        <v>110.4</v>
      </c>
      <c r="C33" s="74">
        <v>0.96</v>
      </c>
      <c r="D33" s="75">
        <v>0.93</v>
      </c>
      <c r="E33" s="75">
        <v>0.88</v>
      </c>
      <c r="F33" s="75">
        <v>0.84</v>
      </c>
      <c r="G33" s="75">
        <v>0.8</v>
      </c>
      <c r="H33" s="75">
        <v>0.76</v>
      </c>
      <c r="I33" s="75">
        <v>0.72</v>
      </c>
      <c r="J33" s="75">
        <v>0.68</v>
      </c>
      <c r="K33" s="75">
        <v>0.65</v>
      </c>
      <c r="L33" s="75">
        <v>0.62</v>
      </c>
      <c r="M33" s="75">
        <v>0.59</v>
      </c>
      <c r="N33" s="75">
        <v>0.56000000000000005</v>
      </c>
      <c r="O33" s="75">
        <v>0.53</v>
      </c>
      <c r="P33" s="75">
        <v>0.5</v>
      </c>
      <c r="Q33" s="76">
        <v>0.48</v>
      </c>
    </row>
    <row r="34" spans="1:17" ht="15">
      <c r="A34" s="65" t="s">
        <v>136</v>
      </c>
      <c r="B34" s="66">
        <f>112*0.8</f>
        <v>89.600000000000009</v>
      </c>
      <c r="C34" s="74">
        <v>0.8</v>
      </c>
      <c r="D34" s="75">
        <v>0.75</v>
      </c>
      <c r="E34" s="75">
        <v>0.71</v>
      </c>
      <c r="F34" s="75">
        <v>0.67</v>
      </c>
      <c r="G34" s="75">
        <v>0.64</v>
      </c>
      <c r="H34" s="75">
        <v>0.61</v>
      </c>
      <c r="I34" s="75">
        <v>0.57999999999999996</v>
      </c>
      <c r="J34" s="75">
        <v>0.55000000000000004</v>
      </c>
      <c r="K34" s="75">
        <v>0.52</v>
      </c>
      <c r="L34" s="75">
        <v>0.5</v>
      </c>
      <c r="M34" s="75">
        <v>0.47</v>
      </c>
      <c r="N34" s="75">
        <v>0.45</v>
      </c>
      <c r="O34" s="75">
        <v>0.43</v>
      </c>
      <c r="P34" s="75">
        <v>0.4</v>
      </c>
      <c r="Q34" s="76">
        <v>0.38</v>
      </c>
    </row>
    <row r="35" spans="1:17" ht="15">
      <c r="A35" s="65" t="s">
        <v>137</v>
      </c>
      <c r="B35" s="66">
        <f>92*0.8</f>
        <v>73.600000000000009</v>
      </c>
      <c r="C35" s="74">
        <v>0.92</v>
      </c>
      <c r="D35" s="75">
        <v>0.88</v>
      </c>
      <c r="E35" s="75">
        <v>0.83</v>
      </c>
      <c r="F35" s="75">
        <v>0.79</v>
      </c>
      <c r="G35" s="75">
        <v>0.75</v>
      </c>
      <c r="H35" s="75">
        <v>0.71</v>
      </c>
      <c r="I35" s="75">
        <v>0.68</v>
      </c>
      <c r="J35" s="75">
        <v>0.65</v>
      </c>
      <c r="K35" s="75">
        <v>0.61</v>
      </c>
      <c r="L35" s="75">
        <v>0.57999999999999996</v>
      </c>
      <c r="M35" s="75">
        <v>0.55000000000000004</v>
      </c>
      <c r="N35" s="75">
        <v>0.53</v>
      </c>
      <c r="O35" s="75">
        <v>0.5</v>
      </c>
      <c r="P35" s="75">
        <v>0.47</v>
      </c>
      <c r="Q35" s="76">
        <v>0.45</v>
      </c>
    </row>
    <row r="36" spans="1:17" ht="15">
      <c r="A36" s="65" t="s">
        <v>138</v>
      </c>
      <c r="B36" s="66">
        <f>58*0.8</f>
        <v>46.400000000000006</v>
      </c>
      <c r="C36" s="74">
        <v>0.91</v>
      </c>
      <c r="D36" s="75">
        <v>0.85</v>
      </c>
      <c r="E36" s="75">
        <v>0.81</v>
      </c>
      <c r="F36" s="75">
        <v>0.77</v>
      </c>
      <c r="G36" s="75">
        <v>0.73</v>
      </c>
      <c r="H36" s="75">
        <v>0.69</v>
      </c>
      <c r="I36" s="75">
        <v>0.66</v>
      </c>
      <c r="J36" s="75">
        <v>0.63</v>
      </c>
      <c r="K36" s="75">
        <v>0.59</v>
      </c>
      <c r="L36" s="75">
        <v>0.56000000000000005</v>
      </c>
      <c r="M36" s="75">
        <v>0.54</v>
      </c>
      <c r="N36" s="75">
        <v>0.51</v>
      </c>
      <c r="O36" s="75">
        <v>0.48</v>
      </c>
      <c r="P36" s="75">
        <v>0.46</v>
      </c>
      <c r="Q36" s="76">
        <v>0.44</v>
      </c>
    </row>
    <row r="37" spans="1:17" ht="15">
      <c r="A37" s="65" t="s">
        <v>139</v>
      </c>
      <c r="B37" s="66">
        <f>24*0.8</f>
        <v>19.200000000000003</v>
      </c>
      <c r="C37" s="74">
        <v>0.89</v>
      </c>
      <c r="D37" s="75">
        <v>0.85</v>
      </c>
      <c r="E37" s="75">
        <v>0.81</v>
      </c>
      <c r="F37" s="75">
        <v>0.77</v>
      </c>
      <c r="G37" s="75">
        <v>0.73</v>
      </c>
      <c r="H37" s="75">
        <v>0.69</v>
      </c>
      <c r="I37" s="75">
        <v>0.66</v>
      </c>
      <c r="J37" s="75">
        <v>0.62</v>
      </c>
      <c r="K37" s="75">
        <v>0.59</v>
      </c>
      <c r="L37" s="75">
        <v>0.56000000000000005</v>
      </c>
      <c r="M37" s="75">
        <v>0.54</v>
      </c>
      <c r="N37" s="75">
        <v>0.51</v>
      </c>
      <c r="O37" s="75">
        <v>0.48</v>
      </c>
      <c r="P37" s="75">
        <v>0.46</v>
      </c>
      <c r="Q37" s="76">
        <v>0.44</v>
      </c>
    </row>
    <row r="38" spans="1:17" ht="15">
      <c r="A38" s="189" t="s">
        <v>104</v>
      </c>
      <c r="B38" s="139"/>
      <c r="C38" s="17">
        <v>0.92</v>
      </c>
      <c r="D38" s="17">
        <v>0.87</v>
      </c>
      <c r="E38" s="17">
        <v>0.82</v>
      </c>
      <c r="F38" s="17">
        <v>0.78</v>
      </c>
      <c r="G38" s="17">
        <v>0.74</v>
      </c>
      <c r="H38" s="17">
        <v>0.7</v>
      </c>
      <c r="I38" s="17">
        <v>0.67</v>
      </c>
      <c r="J38" s="17">
        <v>0.63</v>
      </c>
      <c r="K38" s="17">
        <v>0.6</v>
      </c>
      <c r="L38" s="17">
        <v>0.56999999999999995</v>
      </c>
      <c r="M38" s="17">
        <v>0.55000000000000004</v>
      </c>
      <c r="N38" s="17">
        <v>0.52</v>
      </c>
      <c r="O38" s="17">
        <v>0.49</v>
      </c>
      <c r="P38" s="17">
        <v>0.46</v>
      </c>
      <c r="Q38" s="17">
        <v>0.44</v>
      </c>
    </row>
    <row r="41" spans="1:17" ht="13.2">
      <c r="B41" s="184"/>
      <c r="C41" s="180"/>
      <c r="D41" s="180"/>
      <c r="E41" s="180"/>
      <c r="F41" s="180"/>
      <c r="G41" s="180"/>
      <c r="H41" s="180"/>
      <c r="I41" s="180"/>
      <c r="J41" s="156"/>
    </row>
    <row r="42" spans="1:17" ht="13.2">
      <c r="B42" s="157"/>
      <c r="C42" s="148"/>
      <c r="D42" s="148"/>
      <c r="E42" s="148"/>
      <c r="F42" s="148"/>
      <c r="G42" s="148"/>
      <c r="H42" s="148"/>
      <c r="I42" s="148"/>
      <c r="J42" s="158"/>
      <c r="L42" s="188" t="s">
        <v>141</v>
      </c>
      <c r="M42" s="148"/>
      <c r="N42" s="196" t="s">
        <v>142</v>
      </c>
      <c r="O42" s="148"/>
      <c r="P42" s="148"/>
    </row>
    <row r="43" spans="1:17" ht="13.2">
      <c r="B43" s="157"/>
      <c r="C43" s="148"/>
      <c r="D43" s="148"/>
      <c r="E43" s="148"/>
      <c r="F43" s="148"/>
      <c r="G43" s="148"/>
      <c r="H43" s="148"/>
      <c r="I43" s="148"/>
      <c r="J43" s="158"/>
      <c r="L43" s="148"/>
      <c r="M43" s="148"/>
      <c r="N43" s="148"/>
      <c r="O43" s="148"/>
      <c r="P43" s="148"/>
    </row>
    <row r="44" spans="1:17" ht="13.2">
      <c r="B44" s="157"/>
      <c r="C44" s="148"/>
      <c r="D44" s="148"/>
      <c r="E44" s="148"/>
      <c r="F44" s="148"/>
      <c r="G44" s="148"/>
      <c r="H44" s="148"/>
      <c r="I44" s="148"/>
      <c r="J44" s="158"/>
      <c r="L44" s="77"/>
      <c r="M44" s="77"/>
    </row>
    <row r="45" spans="1:17" ht="13.2">
      <c r="B45" s="157"/>
      <c r="C45" s="148"/>
      <c r="D45" s="148"/>
      <c r="E45" s="148"/>
      <c r="F45" s="148"/>
      <c r="G45" s="148"/>
      <c r="H45" s="148"/>
      <c r="I45" s="148"/>
      <c r="J45" s="158"/>
      <c r="L45" s="188" t="s">
        <v>143</v>
      </c>
      <c r="M45" s="148"/>
      <c r="N45" s="196" t="s">
        <v>144</v>
      </c>
      <c r="O45" s="148"/>
      <c r="P45" s="148"/>
    </row>
    <row r="46" spans="1:17" ht="13.2">
      <c r="B46" s="157"/>
      <c r="C46" s="148"/>
      <c r="D46" s="148"/>
      <c r="E46" s="148"/>
      <c r="F46" s="148"/>
      <c r="G46" s="148"/>
      <c r="H46" s="148"/>
      <c r="I46" s="148"/>
      <c r="J46" s="158"/>
      <c r="L46" s="148"/>
      <c r="M46" s="148"/>
      <c r="N46" s="148"/>
      <c r="O46" s="148"/>
      <c r="P46" s="148"/>
    </row>
    <row r="47" spans="1:17" ht="13.2">
      <c r="B47" s="157"/>
      <c r="C47" s="148"/>
      <c r="D47" s="148"/>
      <c r="E47" s="148"/>
      <c r="F47" s="148"/>
      <c r="G47" s="148"/>
      <c r="H47" s="148"/>
      <c r="I47" s="148"/>
      <c r="J47" s="158"/>
      <c r="L47" s="77"/>
      <c r="M47" s="77"/>
    </row>
    <row r="48" spans="1:17" ht="13.2">
      <c r="B48" s="157"/>
      <c r="C48" s="148"/>
      <c r="D48" s="148"/>
      <c r="E48" s="148"/>
      <c r="F48" s="148"/>
      <c r="G48" s="148"/>
      <c r="H48" s="148"/>
      <c r="I48" s="148"/>
      <c r="J48" s="158"/>
      <c r="L48" s="188" t="s">
        <v>145</v>
      </c>
      <c r="M48" s="148"/>
      <c r="N48" s="197" t="s">
        <v>146</v>
      </c>
      <c r="O48" s="148"/>
      <c r="P48" s="148"/>
      <c r="Q48" s="148"/>
    </row>
    <row r="49" spans="2:17" ht="13.2">
      <c r="B49" s="157"/>
      <c r="C49" s="148"/>
      <c r="D49" s="148"/>
      <c r="E49" s="148"/>
      <c r="F49" s="148"/>
      <c r="G49" s="148"/>
      <c r="H49" s="148"/>
      <c r="I49" s="148"/>
      <c r="J49" s="158"/>
      <c r="L49" s="148"/>
      <c r="M49" s="148"/>
      <c r="N49" s="148"/>
      <c r="O49" s="148"/>
      <c r="P49" s="148"/>
      <c r="Q49" s="148"/>
    </row>
    <row r="50" spans="2:17" ht="13.2">
      <c r="B50" s="157"/>
      <c r="C50" s="148"/>
      <c r="D50" s="148"/>
      <c r="E50" s="148"/>
      <c r="F50" s="148"/>
      <c r="G50" s="148"/>
      <c r="H50" s="148"/>
      <c r="I50" s="148"/>
      <c r="J50" s="158"/>
      <c r="L50" s="148"/>
      <c r="M50" s="148"/>
      <c r="N50" s="148"/>
      <c r="O50" s="148"/>
      <c r="P50" s="148"/>
      <c r="Q50" s="148"/>
    </row>
    <row r="51" spans="2:17" ht="13.2">
      <c r="B51" s="157"/>
      <c r="C51" s="148"/>
      <c r="D51" s="148"/>
      <c r="E51" s="148"/>
      <c r="F51" s="148"/>
      <c r="G51" s="148"/>
      <c r="H51" s="148"/>
      <c r="I51" s="148"/>
      <c r="J51" s="158"/>
      <c r="L51" s="148"/>
      <c r="M51" s="148"/>
      <c r="N51" s="148"/>
      <c r="O51" s="148"/>
      <c r="P51" s="148"/>
      <c r="Q51" s="148"/>
    </row>
    <row r="52" spans="2:17" ht="13.2">
      <c r="B52" s="157"/>
      <c r="C52" s="148"/>
      <c r="D52" s="148"/>
      <c r="E52" s="148"/>
      <c r="F52" s="148"/>
      <c r="G52" s="148"/>
      <c r="H52" s="148"/>
      <c r="I52" s="148"/>
      <c r="J52" s="158"/>
      <c r="L52" s="148"/>
      <c r="M52" s="148"/>
      <c r="N52" s="148"/>
      <c r="O52" s="148"/>
      <c r="P52" s="148"/>
      <c r="Q52" s="148"/>
    </row>
    <row r="53" spans="2:17" ht="13.2">
      <c r="B53" s="157"/>
      <c r="C53" s="148"/>
      <c r="D53" s="148"/>
      <c r="E53" s="148"/>
      <c r="F53" s="148"/>
      <c r="G53" s="148"/>
      <c r="H53" s="148"/>
      <c r="I53" s="148"/>
      <c r="J53" s="158"/>
      <c r="L53" s="148"/>
      <c r="M53" s="148"/>
      <c r="N53" s="148"/>
      <c r="O53" s="148"/>
      <c r="P53" s="148"/>
      <c r="Q53" s="148"/>
    </row>
    <row r="54" spans="2:17" ht="13.2">
      <c r="B54" s="157"/>
      <c r="C54" s="148"/>
      <c r="D54" s="148"/>
      <c r="E54" s="148"/>
      <c r="F54" s="148"/>
      <c r="G54" s="148"/>
      <c r="H54" s="148"/>
      <c r="I54" s="148"/>
      <c r="J54" s="158"/>
    </row>
    <row r="55" spans="2:17" ht="13.2">
      <c r="B55" s="157"/>
      <c r="C55" s="148"/>
      <c r="D55" s="148"/>
      <c r="E55" s="148"/>
      <c r="F55" s="148"/>
      <c r="G55" s="148"/>
      <c r="H55" s="148"/>
      <c r="I55" s="148"/>
      <c r="J55" s="158"/>
    </row>
    <row r="56" spans="2:17" ht="13.2">
      <c r="B56" s="157"/>
      <c r="C56" s="148"/>
      <c r="D56" s="148"/>
      <c r="E56" s="148"/>
      <c r="F56" s="148"/>
      <c r="G56" s="148"/>
      <c r="H56" s="148"/>
      <c r="I56" s="148"/>
      <c r="J56" s="158"/>
    </row>
    <row r="57" spans="2:17" ht="13.2">
      <c r="B57" s="157"/>
      <c r="C57" s="148"/>
      <c r="D57" s="148"/>
      <c r="E57" s="148"/>
      <c r="F57" s="148"/>
      <c r="G57" s="148"/>
      <c r="H57" s="148"/>
      <c r="I57" s="148"/>
      <c r="J57" s="158"/>
    </row>
    <row r="58" spans="2:17" ht="13.2">
      <c r="B58" s="157"/>
      <c r="C58" s="148"/>
      <c r="D58" s="148"/>
      <c r="E58" s="148"/>
      <c r="F58" s="148"/>
      <c r="G58" s="148"/>
      <c r="H58" s="148"/>
      <c r="I58" s="148"/>
      <c r="J58" s="158"/>
    </row>
    <row r="59" spans="2:17" ht="13.2">
      <c r="B59" s="157"/>
      <c r="C59" s="148"/>
      <c r="D59" s="148"/>
      <c r="E59" s="148"/>
      <c r="F59" s="148"/>
      <c r="G59" s="148"/>
      <c r="H59" s="148"/>
      <c r="I59" s="148"/>
      <c r="J59" s="158"/>
    </row>
    <row r="60" spans="2:17" ht="13.2">
      <c r="B60" s="157"/>
      <c r="C60" s="148"/>
      <c r="D60" s="148"/>
      <c r="E60" s="148"/>
      <c r="F60" s="148"/>
      <c r="G60" s="148"/>
      <c r="H60" s="148"/>
      <c r="I60" s="148"/>
      <c r="J60" s="158"/>
    </row>
    <row r="61" spans="2:17" ht="13.2">
      <c r="B61" s="159"/>
      <c r="C61" s="138"/>
      <c r="D61" s="138"/>
      <c r="E61" s="138"/>
      <c r="F61" s="138"/>
      <c r="G61" s="138"/>
      <c r="H61" s="138"/>
      <c r="I61" s="138"/>
      <c r="J61" s="139"/>
    </row>
    <row r="65" spans="1:17" ht="13.2">
      <c r="A65" s="191"/>
      <c r="B65" s="156"/>
      <c r="C65" s="193" t="s">
        <v>147</v>
      </c>
      <c r="D65" s="141"/>
      <c r="E65" s="141"/>
      <c r="F65" s="141"/>
      <c r="G65" s="141"/>
      <c r="H65" s="141"/>
      <c r="I65" s="141"/>
      <c r="J65" s="141"/>
      <c r="K65" s="141"/>
      <c r="L65" s="141"/>
      <c r="M65" s="141"/>
      <c r="N65" s="141"/>
      <c r="O65" s="141"/>
      <c r="P65" s="141"/>
      <c r="Q65" s="142"/>
    </row>
    <row r="66" spans="1:17" ht="13.2">
      <c r="A66" s="159"/>
      <c r="B66" s="139"/>
      <c r="C66" s="193" t="s">
        <v>128</v>
      </c>
      <c r="D66" s="141"/>
      <c r="E66" s="141"/>
      <c r="F66" s="141"/>
      <c r="G66" s="141"/>
      <c r="H66" s="141"/>
      <c r="I66" s="141"/>
      <c r="J66" s="141"/>
      <c r="K66" s="141"/>
      <c r="L66" s="141"/>
      <c r="M66" s="141"/>
      <c r="N66" s="141"/>
      <c r="O66" s="141"/>
      <c r="P66" s="141"/>
      <c r="Q66" s="142"/>
    </row>
    <row r="67" spans="1:17" ht="15">
      <c r="A67" s="78" t="s">
        <v>148</v>
      </c>
      <c r="B67" s="79" t="s">
        <v>149</v>
      </c>
      <c r="C67" s="59">
        <v>0</v>
      </c>
      <c r="D67" s="59">
        <v>1</v>
      </c>
      <c r="E67" s="59">
        <v>2</v>
      </c>
      <c r="F67" s="59">
        <v>3</v>
      </c>
      <c r="G67" s="59">
        <v>4</v>
      </c>
      <c r="H67" s="59">
        <v>5</v>
      </c>
      <c r="I67" s="59">
        <v>6</v>
      </c>
      <c r="J67" s="59">
        <v>7</v>
      </c>
      <c r="K67" s="59">
        <v>8</v>
      </c>
      <c r="L67" s="59">
        <v>9</v>
      </c>
      <c r="M67" s="59">
        <v>10</v>
      </c>
      <c r="N67" s="59">
        <v>11</v>
      </c>
      <c r="O67" s="59">
        <v>12</v>
      </c>
      <c r="P67" s="59">
        <v>13</v>
      </c>
      <c r="Q67" s="59">
        <v>14</v>
      </c>
    </row>
    <row r="68" spans="1:17" ht="15">
      <c r="A68" s="60" t="s">
        <v>131</v>
      </c>
      <c r="B68" s="61">
        <f>SUM(B69:B76)</f>
        <v>1484</v>
      </c>
      <c r="C68" s="62">
        <v>870</v>
      </c>
      <c r="D68" s="63">
        <f>C68*0.92</f>
        <v>800.40000000000009</v>
      </c>
      <c r="E68" s="63">
        <f>D68*0.93</f>
        <v>744.37200000000007</v>
      </c>
      <c r="F68" s="63">
        <f>E68*0.93</f>
        <v>692.26596000000006</v>
      </c>
      <c r="G68" s="63">
        <f>F68*0.98</f>
        <v>678.4206408</v>
      </c>
      <c r="H68" s="63">
        <f>G68*0.94</f>
        <v>637.71540235199996</v>
      </c>
      <c r="I68" s="63">
        <f>H68*0.98</f>
        <v>624.96109430495994</v>
      </c>
      <c r="J68" s="63">
        <f>I68*0.92</f>
        <v>574.96420676056312</v>
      </c>
      <c r="K68" s="63">
        <f>J68*0.9</f>
        <v>517.46778608450677</v>
      </c>
      <c r="L68" s="63">
        <f>K68*0.98</f>
        <v>507.11843036281664</v>
      </c>
      <c r="M68" s="63">
        <f>L68*0.99</f>
        <v>502.04724605918847</v>
      </c>
      <c r="N68" s="63">
        <f t="shared" ref="N68:N76" si="5">M68*0.95</f>
        <v>476.94488375622905</v>
      </c>
      <c r="O68" s="63">
        <f>N68*0.91</f>
        <v>434.01984421816843</v>
      </c>
      <c r="P68" s="63">
        <f>O68*0.9</f>
        <v>390.61785979635158</v>
      </c>
      <c r="Q68" s="64">
        <f>P68*0.98</f>
        <v>382.80550260042452</v>
      </c>
    </row>
    <row r="69" spans="1:17" ht="15">
      <c r="A69" s="80" t="s">
        <v>150</v>
      </c>
      <c r="B69" s="66">
        <v>379</v>
      </c>
      <c r="C69" s="67">
        <v>262</v>
      </c>
      <c r="D69" s="35">
        <f>C69*0.93</f>
        <v>243.66000000000003</v>
      </c>
      <c r="E69" s="35">
        <f t="shared" ref="E69:G76" si="6">D69*0.95</f>
        <v>231.477</v>
      </c>
      <c r="F69" s="35">
        <f t="shared" si="6"/>
        <v>219.90314999999998</v>
      </c>
      <c r="G69" s="35">
        <f t="shared" si="6"/>
        <v>208.90799249999998</v>
      </c>
      <c r="H69" s="35">
        <f>G69*0.9</f>
        <v>188.01719324999999</v>
      </c>
      <c r="I69" s="35">
        <f>H69*0.94</f>
        <v>176.73616165499999</v>
      </c>
      <c r="J69" s="35">
        <f t="shared" ref="J69:M76" si="7">I69*0.95</f>
        <v>167.89935357224999</v>
      </c>
      <c r="K69" s="35">
        <f t="shared" si="7"/>
        <v>159.50438589363748</v>
      </c>
      <c r="L69" s="35">
        <f t="shared" si="7"/>
        <v>151.52916659895558</v>
      </c>
      <c r="M69" s="35">
        <f t="shared" si="7"/>
        <v>143.95270826900779</v>
      </c>
      <c r="N69" s="35">
        <f t="shared" si="5"/>
        <v>136.75507285555739</v>
      </c>
      <c r="O69" s="35">
        <f t="shared" ref="O69:Q76" si="8">N69*0.95</f>
        <v>129.91731921277952</v>
      </c>
      <c r="P69" s="35">
        <f t="shared" si="8"/>
        <v>123.42145325214054</v>
      </c>
      <c r="Q69" s="34">
        <f t="shared" si="8"/>
        <v>117.25038058953351</v>
      </c>
    </row>
    <row r="70" spans="1:17" ht="15">
      <c r="A70" s="80" t="s">
        <v>151</v>
      </c>
      <c r="B70" s="66">
        <v>280</v>
      </c>
      <c r="C70" s="67">
        <v>162</v>
      </c>
      <c r="D70" s="35">
        <f>C70*0.95</f>
        <v>153.9</v>
      </c>
      <c r="E70" s="35">
        <f t="shared" si="6"/>
        <v>146.20500000000001</v>
      </c>
      <c r="F70" s="35">
        <f t="shared" si="6"/>
        <v>138.89475000000002</v>
      </c>
      <c r="G70" s="35">
        <f t="shared" si="6"/>
        <v>131.95001250000001</v>
      </c>
      <c r="H70" s="35">
        <f t="shared" ref="H70:I76" si="9">G70*0.95</f>
        <v>125.352511875</v>
      </c>
      <c r="I70" s="35">
        <f t="shared" si="9"/>
        <v>119.08488628124999</v>
      </c>
      <c r="J70" s="35">
        <f t="shared" si="7"/>
        <v>113.13064196718749</v>
      </c>
      <c r="K70" s="35">
        <f t="shared" si="7"/>
        <v>107.47410986882811</v>
      </c>
      <c r="L70" s="35">
        <f t="shared" si="7"/>
        <v>102.1004043753867</v>
      </c>
      <c r="M70" s="35">
        <f t="shared" si="7"/>
        <v>96.995384156617362</v>
      </c>
      <c r="N70" s="35">
        <f t="shared" si="5"/>
        <v>92.145614948786488</v>
      </c>
      <c r="O70" s="35">
        <f t="shared" si="8"/>
        <v>87.538334201347155</v>
      </c>
      <c r="P70" s="35">
        <f t="shared" si="8"/>
        <v>83.161417491279792</v>
      </c>
      <c r="Q70" s="34">
        <f t="shared" si="8"/>
        <v>79.003346616715802</v>
      </c>
    </row>
    <row r="71" spans="1:17" ht="15">
      <c r="A71" s="80" t="s">
        <v>152</v>
      </c>
      <c r="B71" s="66">
        <v>200</v>
      </c>
      <c r="C71" s="67">
        <v>132</v>
      </c>
      <c r="D71" s="35">
        <f>C71*0.92</f>
        <v>121.44000000000001</v>
      </c>
      <c r="E71" s="35">
        <f t="shared" si="6"/>
        <v>115.36800000000001</v>
      </c>
      <c r="F71" s="35">
        <f t="shared" si="6"/>
        <v>109.59960000000001</v>
      </c>
      <c r="G71" s="35">
        <f t="shared" si="6"/>
        <v>104.11962</v>
      </c>
      <c r="H71" s="35">
        <f t="shared" si="9"/>
        <v>98.913638999999989</v>
      </c>
      <c r="I71" s="35">
        <f t="shared" si="9"/>
        <v>93.967957049999981</v>
      </c>
      <c r="J71" s="35">
        <f t="shared" si="7"/>
        <v>89.269559197499973</v>
      </c>
      <c r="K71" s="35">
        <f t="shared" si="7"/>
        <v>84.806081237624966</v>
      </c>
      <c r="L71" s="35">
        <f t="shared" si="7"/>
        <v>80.565777175743719</v>
      </c>
      <c r="M71" s="35">
        <f t="shared" si="7"/>
        <v>76.537488316956527</v>
      </c>
      <c r="N71" s="35">
        <f t="shared" si="5"/>
        <v>72.710613901108701</v>
      </c>
      <c r="O71" s="35">
        <f t="shared" si="8"/>
        <v>69.075083206053264</v>
      </c>
      <c r="P71" s="35">
        <f t="shared" si="8"/>
        <v>65.621329045750599</v>
      </c>
      <c r="Q71" s="34">
        <f t="shared" si="8"/>
        <v>62.340262593463066</v>
      </c>
    </row>
    <row r="72" spans="1:17" ht="15">
      <c r="A72" s="80" t="s">
        <v>153</v>
      </c>
      <c r="B72" s="66">
        <v>175</v>
      </c>
      <c r="C72" s="67">
        <v>106</v>
      </c>
      <c r="D72" s="35">
        <f>C72*0.97</f>
        <v>102.82</v>
      </c>
      <c r="E72" s="35">
        <f t="shared" si="6"/>
        <v>97.678999999999988</v>
      </c>
      <c r="F72" s="35">
        <f t="shared" si="6"/>
        <v>92.795049999999989</v>
      </c>
      <c r="G72" s="35">
        <f t="shared" si="6"/>
        <v>88.155297499999989</v>
      </c>
      <c r="H72" s="35">
        <f t="shared" si="9"/>
        <v>83.747532624999991</v>
      </c>
      <c r="I72" s="35">
        <f t="shared" si="9"/>
        <v>79.560155993749987</v>
      </c>
      <c r="J72" s="35">
        <f t="shared" si="7"/>
        <v>75.582148194062484</v>
      </c>
      <c r="K72" s="35">
        <f t="shared" si="7"/>
        <v>71.803040784359354</v>
      </c>
      <c r="L72" s="35">
        <f t="shared" si="7"/>
        <v>68.212888745141385</v>
      </c>
      <c r="M72" s="35">
        <f t="shared" si="7"/>
        <v>64.802244307884308</v>
      </c>
      <c r="N72" s="35">
        <f t="shared" si="5"/>
        <v>61.562132092490089</v>
      </c>
      <c r="O72" s="35">
        <f t="shared" si="8"/>
        <v>58.48402548786558</v>
      </c>
      <c r="P72" s="35">
        <f t="shared" si="8"/>
        <v>55.559824213472297</v>
      </c>
      <c r="Q72" s="34">
        <f t="shared" si="8"/>
        <v>52.781833002798678</v>
      </c>
    </row>
    <row r="73" spans="1:17" ht="15">
      <c r="A73" s="80" t="s">
        <v>154</v>
      </c>
      <c r="B73" s="66">
        <v>120</v>
      </c>
      <c r="C73" s="67">
        <v>72</v>
      </c>
      <c r="D73" s="35">
        <f>C73*0.93</f>
        <v>66.960000000000008</v>
      </c>
      <c r="E73" s="35">
        <f t="shared" si="6"/>
        <v>63.612000000000002</v>
      </c>
      <c r="F73" s="35">
        <f t="shared" si="6"/>
        <v>60.431399999999996</v>
      </c>
      <c r="G73" s="35">
        <f t="shared" si="6"/>
        <v>57.409829999999992</v>
      </c>
      <c r="H73" s="35">
        <f t="shared" si="9"/>
        <v>54.539338499999992</v>
      </c>
      <c r="I73" s="35">
        <f t="shared" si="9"/>
        <v>51.812371574999993</v>
      </c>
      <c r="J73" s="35">
        <f t="shared" si="7"/>
        <v>49.22175299624999</v>
      </c>
      <c r="K73" s="35">
        <f t="shared" si="7"/>
        <v>46.760665346437484</v>
      </c>
      <c r="L73" s="35">
        <f t="shared" si="7"/>
        <v>44.422632079115608</v>
      </c>
      <c r="M73" s="35">
        <f t="shared" si="7"/>
        <v>42.201500475159825</v>
      </c>
      <c r="N73" s="35">
        <f t="shared" si="5"/>
        <v>40.091425451401832</v>
      </c>
      <c r="O73" s="35">
        <f t="shared" si="8"/>
        <v>38.086854178831736</v>
      </c>
      <c r="P73" s="35">
        <f t="shared" si="8"/>
        <v>36.182511469890144</v>
      </c>
      <c r="Q73" s="34">
        <f t="shared" si="8"/>
        <v>34.373385896395632</v>
      </c>
    </row>
    <row r="74" spans="1:17" ht="15">
      <c r="A74" s="80" t="s">
        <v>155</v>
      </c>
      <c r="B74" s="66">
        <v>100</v>
      </c>
      <c r="C74" s="67">
        <v>68</v>
      </c>
      <c r="D74" s="35">
        <f>C74*0.95</f>
        <v>64.599999999999994</v>
      </c>
      <c r="E74" s="35">
        <f t="shared" si="6"/>
        <v>61.36999999999999</v>
      </c>
      <c r="F74" s="35">
        <f t="shared" si="6"/>
        <v>58.30149999999999</v>
      </c>
      <c r="G74" s="35">
        <f t="shared" si="6"/>
        <v>55.386424999999988</v>
      </c>
      <c r="H74" s="35">
        <f t="shared" si="9"/>
        <v>52.617103749999984</v>
      </c>
      <c r="I74" s="35">
        <f t="shared" si="9"/>
        <v>49.986248562499981</v>
      </c>
      <c r="J74" s="35">
        <f t="shared" si="7"/>
        <v>47.486936134374979</v>
      </c>
      <c r="K74" s="35">
        <f t="shared" si="7"/>
        <v>45.112589327656231</v>
      </c>
      <c r="L74" s="35">
        <f t="shared" si="7"/>
        <v>42.856959861273417</v>
      </c>
      <c r="M74" s="35">
        <f t="shared" si="7"/>
        <v>40.714111868209741</v>
      </c>
      <c r="N74" s="35">
        <f t="shared" si="5"/>
        <v>38.678406274799251</v>
      </c>
      <c r="O74" s="35">
        <f t="shared" si="8"/>
        <v>36.74448596105929</v>
      </c>
      <c r="P74" s="35">
        <f t="shared" si="8"/>
        <v>34.907261663006324</v>
      </c>
      <c r="Q74" s="34">
        <f t="shared" si="8"/>
        <v>33.161898579856008</v>
      </c>
    </row>
    <row r="75" spans="1:17" ht="15">
      <c r="A75" s="80" t="s">
        <v>156</v>
      </c>
      <c r="B75" s="66">
        <v>130</v>
      </c>
      <c r="C75" s="67">
        <v>42</v>
      </c>
      <c r="D75" s="35">
        <f>C75*0.94</f>
        <v>39.479999999999997</v>
      </c>
      <c r="E75" s="35">
        <f t="shared" si="6"/>
        <v>37.505999999999993</v>
      </c>
      <c r="F75" s="35">
        <f t="shared" si="6"/>
        <v>35.63069999999999</v>
      </c>
      <c r="G75" s="35">
        <f t="shared" si="6"/>
        <v>33.849164999999992</v>
      </c>
      <c r="H75" s="35">
        <f t="shared" si="9"/>
        <v>32.156706749999991</v>
      </c>
      <c r="I75" s="35">
        <f t="shared" si="9"/>
        <v>30.548871412499988</v>
      </c>
      <c r="J75" s="35">
        <f t="shared" si="7"/>
        <v>29.021427841874988</v>
      </c>
      <c r="K75" s="35">
        <f t="shared" si="7"/>
        <v>27.570356449781237</v>
      </c>
      <c r="L75" s="35">
        <f t="shared" si="7"/>
        <v>26.191838627292174</v>
      </c>
      <c r="M75" s="35">
        <f t="shared" si="7"/>
        <v>24.882246695927563</v>
      </c>
      <c r="N75" s="35">
        <f t="shared" si="5"/>
        <v>23.638134361131183</v>
      </c>
      <c r="O75" s="35">
        <f t="shared" si="8"/>
        <v>22.456227643074623</v>
      </c>
      <c r="P75" s="35">
        <f t="shared" si="8"/>
        <v>21.333416260920892</v>
      </c>
      <c r="Q75" s="34">
        <f t="shared" si="8"/>
        <v>20.266745447874847</v>
      </c>
    </row>
    <row r="76" spans="1:17" ht="15">
      <c r="A76" s="80" t="s">
        <v>157</v>
      </c>
      <c r="B76" s="66">
        <v>100</v>
      </c>
      <c r="C76" s="68">
        <v>17</v>
      </c>
      <c r="D76" s="69">
        <f>C76*0.96</f>
        <v>16.32</v>
      </c>
      <c r="E76" s="69">
        <f t="shared" si="6"/>
        <v>15.504</v>
      </c>
      <c r="F76" s="69">
        <f t="shared" si="6"/>
        <v>14.7288</v>
      </c>
      <c r="G76" s="69">
        <f t="shared" si="6"/>
        <v>13.99236</v>
      </c>
      <c r="H76" s="69">
        <f t="shared" si="9"/>
        <v>13.292741999999999</v>
      </c>
      <c r="I76" s="69">
        <f t="shared" si="9"/>
        <v>12.628104899999999</v>
      </c>
      <c r="J76" s="69">
        <f t="shared" si="7"/>
        <v>11.996699654999999</v>
      </c>
      <c r="K76" s="69">
        <f t="shared" si="7"/>
        <v>11.396864672249999</v>
      </c>
      <c r="L76" s="69">
        <f t="shared" si="7"/>
        <v>10.827021438637498</v>
      </c>
      <c r="M76" s="69">
        <f t="shared" si="7"/>
        <v>10.285670366705622</v>
      </c>
      <c r="N76" s="69">
        <f t="shared" si="5"/>
        <v>9.7713868483703408</v>
      </c>
      <c r="O76" s="69">
        <f t="shared" si="8"/>
        <v>9.2828175059518241</v>
      </c>
      <c r="P76" s="69">
        <f t="shared" si="8"/>
        <v>8.8186766306542328</v>
      </c>
      <c r="Q76" s="70">
        <f t="shared" si="8"/>
        <v>8.3777427991215205</v>
      </c>
    </row>
    <row r="79" spans="1:17" ht="13.2">
      <c r="C79" s="22"/>
      <c r="D79" s="22"/>
      <c r="E79" s="22"/>
      <c r="F79" s="22"/>
      <c r="G79" s="22"/>
      <c r="H79" s="22"/>
      <c r="I79" s="22"/>
      <c r="J79" s="22"/>
      <c r="K79" s="22"/>
      <c r="L79" s="22"/>
      <c r="M79" s="22"/>
      <c r="N79" s="22"/>
      <c r="O79" s="22"/>
      <c r="P79" s="22"/>
      <c r="Q79" s="22"/>
    </row>
    <row r="80" spans="1:17" ht="13.2">
      <c r="A80" s="191"/>
      <c r="B80" s="156"/>
      <c r="C80" s="193" t="s">
        <v>158</v>
      </c>
      <c r="D80" s="141"/>
      <c r="E80" s="141"/>
      <c r="F80" s="141"/>
      <c r="G80" s="141"/>
      <c r="H80" s="141"/>
      <c r="I80" s="141"/>
      <c r="J80" s="141"/>
      <c r="K80" s="141"/>
      <c r="L80" s="141"/>
      <c r="M80" s="141"/>
      <c r="N80" s="141"/>
      <c r="O80" s="141"/>
      <c r="P80" s="141"/>
      <c r="Q80" s="142"/>
    </row>
    <row r="81" spans="1:17" ht="13.2">
      <c r="A81" s="159"/>
      <c r="B81" s="139"/>
      <c r="C81" s="193" t="s">
        <v>128</v>
      </c>
      <c r="D81" s="141"/>
      <c r="E81" s="141"/>
      <c r="F81" s="141"/>
      <c r="G81" s="141"/>
      <c r="H81" s="141"/>
      <c r="I81" s="141"/>
      <c r="J81" s="141"/>
      <c r="K81" s="141"/>
      <c r="L81" s="141"/>
      <c r="M81" s="141"/>
      <c r="N81" s="141"/>
      <c r="O81" s="141"/>
      <c r="P81" s="141"/>
      <c r="Q81" s="142"/>
    </row>
    <row r="82" spans="1:17" ht="30">
      <c r="A82" s="57" t="s">
        <v>129</v>
      </c>
      <c r="B82" s="58" t="s">
        <v>130</v>
      </c>
      <c r="C82" s="59">
        <v>0</v>
      </c>
      <c r="D82" s="59">
        <v>1</v>
      </c>
      <c r="E82" s="59">
        <v>2</v>
      </c>
      <c r="F82" s="59">
        <v>3</v>
      </c>
      <c r="G82" s="59">
        <v>4</v>
      </c>
      <c r="H82" s="59">
        <v>5</v>
      </c>
      <c r="I82" s="59">
        <v>6</v>
      </c>
      <c r="J82" s="59">
        <v>7</v>
      </c>
      <c r="K82" s="59">
        <v>8</v>
      </c>
      <c r="L82" s="59">
        <v>9</v>
      </c>
      <c r="M82" s="59">
        <v>10</v>
      </c>
      <c r="N82" s="59">
        <v>11</v>
      </c>
      <c r="O82" s="59">
        <v>12</v>
      </c>
      <c r="P82" s="59">
        <v>13</v>
      </c>
      <c r="Q82" s="59">
        <v>14</v>
      </c>
    </row>
    <row r="83" spans="1:17" ht="15">
      <c r="A83" s="60" t="s">
        <v>131</v>
      </c>
      <c r="B83" s="61">
        <f>SUM(B84:B91)</f>
        <v>1484</v>
      </c>
      <c r="C83" s="81">
        <v>0.59</v>
      </c>
      <c r="D83" s="72">
        <v>0.54</v>
      </c>
      <c r="E83" s="72">
        <v>0.5</v>
      </c>
      <c r="F83" s="72">
        <v>0.47</v>
      </c>
      <c r="G83" s="72">
        <v>0.46</v>
      </c>
      <c r="H83" s="72">
        <v>0.43</v>
      </c>
      <c r="I83" s="72">
        <v>0.42</v>
      </c>
      <c r="J83" s="72">
        <v>0.39</v>
      </c>
      <c r="K83" s="72">
        <v>0.35</v>
      </c>
      <c r="L83" s="72">
        <v>0.34</v>
      </c>
      <c r="M83" s="72">
        <v>0.34</v>
      </c>
      <c r="N83" s="72">
        <v>0.32</v>
      </c>
      <c r="O83" s="72">
        <v>0.28999999999999998</v>
      </c>
      <c r="P83" s="72">
        <v>0.26</v>
      </c>
      <c r="Q83" s="73">
        <v>0.26</v>
      </c>
    </row>
    <row r="84" spans="1:17" ht="15">
      <c r="A84" s="80" t="s">
        <v>150</v>
      </c>
      <c r="B84" s="66">
        <v>379</v>
      </c>
      <c r="C84" s="74">
        <v>0.69</v>
      </c>
      <c r="D84" s="75">
        <v>0.64</v>
      </c>
      <c r="E84" s="75">
        <v>0.61</v>
      </c>
      <c r="F84" s="75">
        <v>0.57999999999999996</v>
      </c>
      <c r="G84" s="75">
        <v>0.55000000000000004</v>
      </c>
      <c r="H84" s="75">
        <v>0.5</v>
      </c>
      <c r="I84" s="75">
        <v>0.47</v>
      </c>
      <c r="J84" s="75">
        <v>0.44</v>
      </c>
      <c r="K84" s="75">
        <v>0.42</v>
      </c>
      <c r="L84" s="75">
        <v>0.4</v>
      </c>
      <c r="M84" s="75">
        <v>0.38</v>
      </c>
      <c r="N84" s="75">
        <v>0.36</v>
      </c>
      <c r="O84" s="75">
        <v>0.34</v>
      </c>
      <c r="P84" s="75">
        <v>0.33</v>
      </c>
      <c r="Q84" s="76">
        <v>0.31</v>
      </c>
    </row>
    <row r="85" spans="1:17" ht="15">
      <c r="A85" s="80" t="s">
        <v>151</v>
      </c>
      <c r="B85" s="66">
        <v>280</v>
      </c>
      <c r="C85" s="74">
        <v>0.57999999999999996</v>
      </c>
      <c r="D85" s="75">
        <v>0.55000000000000004</v>
      </c>
      <c r="E85" s="75">
        <v>0.52</v>
      </c>
      <c r="F85" s="75">
        <v>0.5</v>
      </c>
      <c r="G85" s="75">
        <v>0.47</v>
      </c>
      <c r="H85" s="75">
        <v>0.45</v>
      </c>
      <c r="I85" s="75">
        <v>0.43</v>
      </c>
      <c r="J85" s="75">
        <v>0.4</v>
      </c>
      <c r="K85" s="75">
        <v>0.38</v>
      </c>
      <c r="L85" s="75">
        <v>0.36</v>
      </c>
      <c r="M85" s="75">
        <v>0.35</v>
      </c>
      <c r="N85" s="75">
        <v>0.33</v>
      </c>
      <c r="O85" s="75">
        <v>0.31</v>
      </c>
      <c r="P85" s="75">
        <v>0.3</v>
      </c>
      <c r="Q85" s="76">
        <v>0.28000000000000003</v>
      </c>
    </row>
    <row r="86" spans="1:17" ht="15">
      <c r="A86" s="80" t="s">
        <v>152</v>
      </c>
      <c r="B86" s="66">
        <v>200</v>
      </c>
      <c r="C86" s="74">
        <v>0.66</v>
      </c>
      <c r="D86" s="75">
        <v>0.61</v>
      </c>
      <c r="E86" s="75">
        <v>0.57999999999999996</v>
      </c>
      <c r="F86" s="75">
        <v>0.55000000000000004</v>
      </c>
      <c r="G86" s="75">
        <v>0.52</v>
      </c>
      <c r="H86" s="75">
        <v>0.49</v>
      </c>
      <c r="I86" s="75">
        <v>0.47</v>
      </c>
      <c r="J86" s="75">
        <v>0.45</v>
      </c>
      <c r="K86" s="75">
        <v>0.42</v>
      </c>
      <c r="L86" s="75">
        <v>0.4</v>
      </c>
      <c r="M86" s="75">
        <v>0.38</v>
      </c>
      <c r="N86" s="75">
        <v>0.36</v>
      </c>
      <c r="O86" s="75">
        <v>0.35</v>
      </c>
      <c r="P86" s="75">
        <v>0.33</v>
      </c>
      <c r="Q86" s="76">
        <v>0.31</v>
      </c>
    </row>
    <row r="87" spans="1:17" ht="15">
      <c r="A87" s="80" t="s">
        <v>153</v>
      </c>
      <c r="B87" s="66">
        <v>175</v>
      </c>
      <c r="C87" s="74">
        <v>0.61</v>
      </c>
      <c r="D87" s="75">
        <v>0.59</v>
      </c>
      <c r="E87" s="75">
        <v>0.56000000000000005</v>
      </c>
      <c r="F87" s="75">
        <v>0.53</v>
      </c>
      <c r="G87" s="75">
        <v>0.5</v>
      </c>
      <c r="H87" s="75">
        <v>0.48</v>
      </c>
      <c r="I87" s="75">
        <v>0.45</v>
      </c>
      <c r="J87" s="75">
        <v>0.43</v>
      </c>
      <c r="K87" s="75">
        <v>0.41</v>
      </c>
      <c r="L87" s="75">
        <v>0.39</v>
      </c>
      <c r="M87" s="75">
        <v>0.37</v>
      </c>
      <c r="N87" s="75">
        <v>0.35</v>
      </c>
      <c r="O87" s="75">
        <v>0.33</v>
      </c>
      <c r="P87" s="75">
        <v>0.32</v>
      </c>
      <c r="Q87" s="76">
        <v>0.3</v>
      </c>
    </row>
    <row r="88" spans="1:17" ht="15">
      <c r="A88" s="80" t="s">
        <v>154</v>
      </c>
      <c r="B88" s="66">
        <v>120</v>
      </c>
      <c r="C88" s="74">
        <v>0.6</v>
      </c>
      <c r="D88" s="75">
        <v>0.56000000000000005</v>
      </c>
      <c r="E88" s="75">
        <v>0.53</v>
      </c>
      <c r="F88" s="75">
        <v>0.5</v>
      </c>
      <c r="G88" s="75">
        <v>0.48</v>
      </c>
      <c r="H88" s="75">
        <v>0.45</v>
      </c>
      <c r="I88" s="75">
        <v>0.43</v>
      </c>
      <c r="J88" s="75">
        <v>0.41</v>
      </c>
      <c r="K88" s="75">
        <v>0.39</v>
      </c>
      <c r="L88" s="75">
        <v>0.37</v>
      </c>
      <c r="M88" s="75">
        <v>0.35</v>
      </c>
      <c r="N88" s="75">
        <v>0.33</v>
      </c>
      <c r="O88" s="75">
        <v>0.32</v>
      </c>
      <c r="P88" s="75">
        <v>0.3</v>
      </c>
      <c r="Q88" s="76">
        <v>0.28999999999999998</v>
      </c>
    </row>
    <row r="89" spans="1:17" ht="15">
      <c r="A89" s="80" t="s">
        <v>155</v>
      </c>
      <c r="B89" s="66">
        <v>100</v>
      </c>
      <c r="C89" s="74">
        <v>0.68</v>
      </c>
      <c r="D89" s="75">
        <v>0.65</v>
      </c>
      <c r="E89" s="75">
        <v>0.61</v>
      </c>
      <c r="F89" s="75">
        <v>0.57999999999999996</v>
      </c>
      <c r="G89" s="75">
        <v>0.55000000000000004</v>
      </c>
      <c r="H89" s="75">
        <v>0.53</v>
      </c>
      <c r="I89" s="75">
        <v>0.5</v>
      </c>
      <c r="J89" s="75">
        <v>0.47</v>
      </c>
      <c r="K89" s="75">
        <v>0.45</v>
      </c>
      <c r="L89" s="75">
        <v>0.43</v>
      </c>
      <c r="M89" s="75">
        <v>0.41</v>
      </c>
      <c r="N89" s="75">
        <v>0.39</v>
      </c>
      <c r="O89" s="75">
        <v>0.37</v>
      </c>
      <c r="P89" s="75">
        <v>0.35</v>
      </c>
      <c r="Q89" s="76">
        <v>0.33</v>
      </c>
    </row>
    <row r="90" spans="1:17" ht="15">
      <c r="A90" s="80" t="s">
        <v>156</v>
      </c>
      <c r="B90" s="66">
        <v>130</v>
      </c>
      <c r="C90" s="74">
        <v>0.32</v>
      </c>
      <c r="D90" s="75">
        <v>0.3</v>
      </c>
      <c r="E90" s="75">
        <v>0.28999999999999998</v>
      </c>
      <c r="F90" s="75">
        <v>0.27</v>
      </c>
      <c r="G90" s="75">
        <v>0.26</v>
      </c>
      <c r="H90" s="75">
        <v>0.25</v>
      </c>
      <c r="I90" s="75">
        <v>0.23</v>
      </c>
      <c r="J90" s="75">
        <v>0.22</v>
      </c>
      <c r="K90" s="75">
        <v>0.21</v>
      </c>
      <c r="L90" s="75">
        <v>0.2</v>
      </c>
      <c r="M90" s="75">
        <v>0.19</v>
      </c>
      <c r="N90" s="75">
        <v>0.18</v>
      </c>
      <c r="O90" s="75">
        <v>0.17</v>
      </c>
      <c r="P90" s="75">
        <v>0.16</v>
      </c>
      <c r="Q90" s="76">
        <v>0.16</v>
      </c>
    </row>
    <row r="91" spans="1:17" ht="15">
      <c r="A91" s="80" t="s">
        <v>157</v>
      </c>
      <c r="B91" s="66">
        <v>100</v>
      </c>
      <c r="C91" s="74">
        <v>0.17</v>
      </c>
      <c r="D91" s="75">
        <v>0.16</v>
      </c>
      <c r="E91" s="75">
        <v>0.16</v>
      </c>
      <c r="F91" s="75">
        <v>0.15</v>
      </c>
      <c r="G91" s="75">
        <v>0.14000000000000001</v>
      </c>
      <c r="H91" s="75">
        <v>0.13</v>
      </c>
      <c r="I91" s="75">
        <v>0.13</v>
      </c>
      <c r="J91" s="75">
        <v>0.12</v>
      </c>
      <c r="K91" s="75">
        <v>0.11</v>
      </c>
      <c r="L91" s="75">
        <v>0.11</v>
      </c>
      <c r="M91" s="75">
        <v>0.1</v>
      </c>
      <c r="N91" s="75">
        <v>0.1</v>
      </c>
      <c r="O91" s="75">
        <v>0.09</v>
      </c>
      <c r="P91" s="75">
        <v>0.09</v>
      </c>
      <c r="Q91" s="76">
        <v>0.08</v>
      </c>
    </row>
    <row r="92" spans="1:17" ht="15">
      <c r="A92" s="189" t="s">
        <v>104</v>
      </c>
      <c r="B92" s="139"/>
      <c r="C92" s="17">
        <v>0.54</v>
      </c>
      <c r="D92" s="17">
        <v>0.51</v>
      </c>
      <c r="E92" s="17">
        <v>0.48</v>
      </c>
      <c r="F92" s="17">
        <v>0.46</v>
      </c>
      <c r="G92" s="17">
        <v>0.44</v>
      </c>
      <c r="H92" s="17">
        <v>0.41</v>
      </c>
      <c r="I92" s="17">
        <v>0.39</v>
      </c>
      <c r="J92" s="17">
        <v>0.37</v>
      </c>
      <c r="K92" s="17">
        <v>0.35</v>
      </c>
      <c r="L92" s="17">
        <v>0.33</v>
      </c>
      <c r="M92" s="17">
        <v>0.32</v>
      </c>
      <c r="N92" s="17">
        <v>0.3</v>
      </c>
      <c r="O92" s="17">
        <v>0.28999999999999998</v>
      </c>
      <c r="P92" s="17">
        <v>0.27</v>
      </c>
      <c r="Q92" s="17">
        <v>0.26</v>
      </c>
    </row>
    <row r="95" spans="1:17" ht="13.2">
      <c r="B95" s="184"/>
      <c r="C95" s="180"/>
      <c r="D95" s="180"/>
      <c r="E95" s="180"/>
      <c r="F95" s="180"/>
      <c r="G95" s="180"/>
      <c r="H95" s="180"/>
      <c r="I95" s="180"/>
      <c r="J95" s="156"/>
    </row>
    <row r="96" spans="1:17" ht="13.2">
      <c r="B96" s="157"/>
      <c r="C96" s="148"/>
      <c r="D96" s="148"/>
      <c r="E96" s="148"/>
      <c r="F96" s="148"/>
      <c r="G96" s="148"/>
      <c r="H96" s="148"/>
      <c r="I96" s="148"/>
      <c r="J96" s="158"/>
      <c r="L96" s="188" t="s">
        <v>159</v>
      </c>
      <c r="M96" s="148"/>
      <c r="N96" s="196" t="s">
        <v>160</v>
      </c>
      <c r="O96" s="148"/>
      <c r="P96" s="148"/>
    </row>
    <row r="97" spans="2:17" ht="13.2">
      <c r="B97" s="157"/>
      <c r="C97" s="148"/>
      <c r="D97" s="148"/>
      <c r="E97" s="148"/>
      <c r="F97" s="148"/>
      <c r="G97" s="148"/>
      <c r="H97" s="148"/>
      <c r="I97" s="148"/>
      <c r="J97" s="158"/>
      <c r="L97" s="148"/>
      <c r="M97" s="148"/>
      <c r="N97" s="148"/>
      <c r="O97" s="148"/>
      <c r="P97" s="148"/>
    </row>
    <row r="98" spans="2:17" ht="13.2">
      <c r="B98" s="157"/>
      <c r="C98" s="148"/>
      <c r="D98" s="148"/>
      <c r="E98" s="148"/>
      <c r="F98" s="148"/>
      <c r="G98" s="148"/>
      <c r="H98" s="148"/>
      <c r="I98" s="148"/>
      <c r="J98" s="158"/>
      <c r="L98" s="77"/>
      <c r="M98" s="77"/>
    </row>
    <row r="99" spans="2:17" ht="13.2">
      <c r="B99" s="157"/>
      <c r="C99" s="148"/>
      <c r="D99" s="148"/>
      <c r="E99" s="148"/>
      <c r="F99" s="148"/>
      <c r="G99" s="148"/>
      <c r="H99" s="148"/>
      <c r="I99" s="148"/>
      <c r="J99" s="158"/>
      <c r="L99" s="188" t="s">
        <v>161</v>
      </c>
      <c r="M99" s="148"/>
      <c r="N99" s="196" t="s">
        <v>162</v>
      </c>
      <c r="O99" s="148"/>
      <c r="P99" s="148"/>
    </row>
    <row r="100" spans="2:17" ht="13.2">
      <c r="B100" s="157"/>
      <c r="C100" s="148"/>
      <c r="D100" s="148"/>
      <c r="E100" s="148"/>
      <c r="F100" s="148"/>
      <c r="G100" s="148"/>
      <c r="H100" s="148"/>
      <c r="I100" s="148"/>
      <c r="J100" s="158"/>
      <c r="L100" s="148"/>
      <c r="M100" s="148"/>
      <c r="N100" s="148"/>
      <c r="O100" s="148"/>
      <c r="P100" s="148"/>
    </row>
    <row r="101" spans="2:17" ht="13.2">
      <c r="B101" s="157"/>
      <c r="C101" s="148"/>
      <c r="D101" s="148"/>
      <c r="E101" s="148"/>
      <c r="F101" s="148"/>
      <c r="G101" s="148"/>
      <c r="H101" s="148"/>
      <c r="I101" s="148"/>
      <c r="J101" s="158"/>
      <c r="L101" s="77"/>
      <c r="M101" s="77"/>
    </row>
    <row r="102" spans="2:17" ht="13.2">
      <c r="B102" s="157"/>
      <c r="C102" s="148"/>
      <c r="D102" s="148"/>
      <c r="E102" s="148"/>
      <c r="F102" s="148"/>
      <c r="G102" s="148"/>
      <c r="H102" s="148"/>
      <c r="I102" s="148"/>
      <c r="J102" s="158"/>
      <c r="L102" s="188" t="s">
        <v>145</v>
      </c>
      <c r="M102" s="148"/>
      <c r="N102" s="197" t="s">
        <v>163</v>
      </c>
      <c r="O102" s="148"/>
      <c r="P102" s="148"/>
      <c r="Q102" s="148"/>
    </row>
    <row r="103" spans="2:17" ht="13.2">
      <c r="B103" s="157"/>
      <c r="C103" s="148"/>
      <c r="D103" s="148"/>
      <c r="E103" s="148"/>
      <c r="F103" s="148"/>
      <c r="G103" s="148"/>
      <c r="H103" s="148"/>
      <c r="I103" s="148"/>
      <c r="J103" s="158"/>
      <c r="L103" s="148"/>
      <c r="M103" s="148"/>
      <c r="N103" s="148"/>
      <c r="O103" s="148"/>
      <c r="P103" s="148"/>
      <c r="Q103" s="148"/>
    </row>
    <row r="104" spans="2:17" ht="13.2">
      <c r="B104" s="157"/>
      <c r="C104" s="148"/>
      <c r="D104" s="148"/>
      <c r="E104" s="148"/>
      <c r="F104" s="148"/>
      <c r="G104" s="148"/>
      <c r="H104" s="148"/>
      <c r="I104" s="148"/>
      <c r="J104" s="158"/>
      <c r="L104" s="148"/>
      <c r="M104" s="148"/>
      <c r="N104" s="148"/>
      <c r="O104" s="148"/>
      <c r="P104" s="148"/>
      <c r="Q104" s="148"/>
    </row>
    <row r="105" spans="2:17" ht="13.2">
      <c r="B105" s="157"/>
      <c r="C105" s="148"/>
      <c r="D105" s="148"/>
      <c r="E105" s="148"/>
      <c r="F105" s="148"/>
      <c r="G105" s="148"/>
      <c r="H105" s="148"/>
      <c r="I105" s="148"/>
      <c r="J105" s="158"/>
      <c r="L105" s="148"/>
      <c r="M105" s="148"/>
      <c r="N105" s="148"/>
      <c r="O105" s="148"/>
      <c r="P105" s="148"/>
      <c r="Q105" s="148"/>
    </row>
    <row r="106" spans="2:17" ht="13.2">
      <c r="B106" s="157"/>
      <c r="C106" s="148"/>
      <c r="D106" s="148"/>
      <c r="E106" s="148"/>
      <c r="F106" s="148"/>
      <c r="G106" s="148"/>
      <c r="H106" s="148"/>
      <c r="I106" s="148"/>
      <c r="J106" s="158"/>
      <c r="L106" s="148"/>
      <c r="M106" s="148"/>
      <c r="N106" s="148"/>
      <c r="O106" s="148"/>
      <c r="P106" s="148"/>
      <c r="Q106" s="148"/>
    </row>
    <row r="107" spans="2:17" ht="13.2">
      <c r="B107" s="157"/>
      <c r="C107" s="148"/>
      <c r="D107" s="148"/>
      <c r="E107" s="148"/>
      <c r="F107" s="148"/>
      <c r="G107" s="148"/>
      <c r="H107" s="148"/>
      <c r="I107" s="148"/>
      <c r="J107" s="158"/>
      <c r="L107" s="148"/>
      <c r="M107" s="148"/>
      <c r="N107" s="148"/>
      <c r="O107" s="148"/>
      <c r="P107" s="148"/>
      <c r="Q107" s="148"/>
    </row>
    <row r="108" spans="2:17" ht="13.2">
      <c r="B108" s="157"/>
      <c r="C108" s="148"/>
      <c r="D108" s="148"/>
      <c r="E108" s="148"/>
      <c r="F108" s="148"/>
      <c r="G108" s="148"/>
      <c r="H108" s="148"/>
      <c r="I108" s="148"/>
      <c r="J108" s="158"/>
    </row>
    <row r="109" spans="2:17" ht="13.2">
      <c r="B109" s="157"/>
      <c r="C109" s="148"/>
      <c r="D109" s="148"/>
      <c r="E109" s="148"/>
      <c r="F109" s="148"/>
      <c r="G109" s="148"/>
      <c r="H109" s="148"/>
      <c r="I109" s="148"/>
      <c r="J109" s="158"/>
    </row>
    <row r="110" spans="2:17" ht="13.2">
      <c r="B110" s="157"/>
      <c r="C110" s="148"/>
      <c r="D110" s="148"/>
      <c r="E110" s="148"/>
      <c r="F110" s="148"/>
      <c r="G110" s="148"/>
      <c r="H110" s="148"/>
      <c r="I110" s="148"/>
      <c r="J110" s="158"/>
    </row>
    <row r="111" spans="2:17" ht="13.2">
      <c r="B111" s="157"/>
      <c r="C111" s="148"/>
      <c r="D111" s="148"/>
      <c r="E111" s="148"/>
      <c r="F111" s="148"/>
      <c r="G111" s="148"/>
      <c r="H111" s="148"/>
      <c r="I111" s="148"/>
      <c r="J111" s="158"/>
    </row>
    <row r="112" spans="2:17" ht="13.2">
      <c r="B112" s="157"/>
      <c r="C112" s="148"/>
      <c r="D112" s="148"/>
      <c r="E112" s="148"/>
      <c r="F112" s="148"/>
      <c r="G112" s="148"/>
      <c r="H112" s="148"/>
      <c r="I112" s="148"/>
      <c r="J112" s="158"/>
    </row>
    <row r="113" spans="1:17" ht="13.2">
      <c r="B113" s="157"/>
      <c r="C113" s="148"/>
      <c r="D113" s="148"/>
      <c r="E113" s="148"/>
      <c r="F113" s="148"/>
      <c r="G113" s="148"/>
      <c r="H113" s="148"/>
      <c r="I113" s="148"/>
      <c r="J113" s="158"/>
    </row>
    <row r="114" spans="1:17" ht="13.2">
      <c r="B114" s="157"/>
      <c r="C114" s="148"/>
      <c r="D114" s="148"/>
      <c r="E114" s="148"/>
      <c r="F114" s="148"/>
      <c r="G114" s="148"/>
      <c r="H114" s="148"/>
      <c r="I114" s="148"/>
      <c r="J114" s="158"/>
    </row>
    <row r="115" spans="1:17" ht="13.2">
      <c r="B115" s="159"/>
      <c r="C115" s="138"/>
      <c r="D115" s="138"/>
      <c r="E115" s="138"/>
      <c r="F115" s="138"/>
      <c r="G115" s="138"/>
      <c r="H115" s="138"/>
      <c r="I115" s="138"/>
      <c r="J115" s="139"/>
    </row>
    <row r="118" spans="1:17" ht="13.2">
      <c r="A118" s="191"/>
      <c r="B118" s="156"/>
      <c r="C118" s="193" t="s">
        <v>164</v>
      </c>
      <c r="D118" s="141"/>
      <c r="E118" s="141"/>
      <c r="F118" s="141"/>
      <c r="G118" s="141"/>
      <c r="H118" s="141"/>
      <c r="I118" s="141"/>
      <c r="J118" s="141"/>
      <c r="K118" s="141"/>
      <c r="L118" s="141"/>
      <c r="M118" s="141"/>
      <c r="N118" s="141"/>
      <c r="O118" s="141"/>
      <c r="P118" s="141"/>
      <c r="Q118" s="142"/>
    </row>
    <row r="119" spans="1:17" ht="13.2">
      <c r="A119" s="159"/>
      <c r="B119" s="139"/>
      <c r="C119" s="193" t="s">
        <v>128</v>
      </c>
      <c r="D119" s="141"/>
      <c r="E119" s="141"/>
      <c r="F119" s="141"/>
      <c r="G119" s="141"/>
      <c r="H119" s="141"/>
      <c r="I119" s="141"/>
      <c r="J119" s="141"/>
      <c r="K119" s="141"/>
      <c r="L119" s="141"/>
      <c r="M119" s="141"/>
      <c r="N119" s="141"/>
      <c r="O119" s="141"/>
      <c r="P119" s="141"/>
      <c r="Q119" s="142"/>
    </row>
    <row r="120" spans="1:17" ht="15">
      <c r="A120" s="78" t="s">
        <v>165</v>
      </c>
      <c r="B120" s="79" t="s">
        <v>149</v>
      </c>
      <c r="C120" s="59">
        <v>0</v>
      </c>
      <c r="D120" s="59">
        <v>1</v>
      </c>
      <c r="E120" s="59">
        <v>2</v>
      </c>
      <c r="F120" s="59">
        <v>3</v>
      </c>
      <c r="G120" s="59">
        <v>4</v>
      </c>
      <c r="H120" s="59">
        <v>5</v>
      </c>
      <c r="I120" s="59">
        <v>6</v>
      </c>
      <c r="J120" s="59">
        <v>7</v>
      </c>
      <c r="K120" s="59">
        <v>8</v>
      </c>
      <c r="L120" s="59">
        <v>9</v>
      </c>
      <c r="M120" s="59">
        <v>10</v>
      </c>
      <c r="N120" s="59">
        <v>11</v>
      </c>
      <c r="O120" s="59">
        <v>12</v>
      </c>
      <c r="P120" s="59">
        <v>13</v>
      </c>
      <c r="Q120" s="59">
        <v>14</v>
      </c>
    </row>
    <row r="121" spans="1:17" ht="15">
      <c r="A121" s="60" t="s">
        <v>131</v>
      </c>
      <c r="B121" s="61">
        <f>SUM(B122:B128)</f>
        <v>1900</v>
      </c>
      <c r="C121" s="62">
        <v>870</v>
      </c>
      <c r="D121" s="63">
        <f>C121*0.92</f>
        <v>800.40000000000009</v>
      </c>
      <c r="E121" s="63">
        <f>D121*0.93</f>
        <v>744.37200000000007</v>
      </c>
      <c r="F121" s="63">
        <f>E121*0.93</f>
        <v>692.26596000000006</v>
      </c>
      <c r="G121" s="63">
        <f>F121*0.98</f>
        <v>678.4206408</v>
      </c>
      <c r="H121" s="63">
        <f>G121*0.94</f>
        <v>637.71540235199996</v>
      </c>
      <c r="I121" s="63">
        <f>H121*0.98</f>
        <v>624.96109430495994</v>
      </c>
      <c r="J121" s="63">
        <f>I121*0.92</f>
        <v>574.96420676056312</v>
      </c>
      <c r="K121" s="63">
        <f>J121*0.9</f>
        <v>517.46778608450677</v>
      </c>
      <c r="L121" s="63">
        <f>K121*0.98</f>
        <v>507.11843036281664</v>
      </c>
      <c r="M121" s="63">
        <f>L121*0.99</f>
        <v>502.04724605918847</v>
      </c>
      <c r="N121" s="63">
        <f t="shared" ref="N121:N128" si="10">M121*0.95</f>
        <v>476.94488375622905</v>
      </c>
      <c r="O121" s="63">
        <f>N121*0.91</f>
        <v>434.01984421816843</v>
      </c>
      <c r="P121" s="63">
        <f>O121*0.9</f>
        <v>390.61785979635158</v>
      </c>
      <c r="Q121" s="64">
        <f>P121*0.98</f>
        <v>382.80550260042452</v>
      </c>
    </row>
    <row r="122" spans="1:17" ht="15">
      <c r="A122" s="80" t="s">
        <v>166</v>
      </c>
      <c r="B122" s="66">
        <v>500</v>
      </c>
      <c r="C122" s="67">
        <v>262</v>
      </c>
      <c r="D122" s="35">
        <f>C122*0.93</f>
        <v>243.66000000000003</v>
      </c>
      <c r="E122" s="35">
        <f t="shared" ref="E122:G128" si="11">D122*0.95</f>
        <v>231.477</v>
      </c>
      <c r="F122" s="35">
        <f t="shared" si="11"/>
        <v>219.90314999999998</v>
      </c>
      <c r="G122" s="35">
        <f t="shared" si="11"/>
        <v>208.90799249999998</v>
      </c>
      <c r="H122" s="35">
        <f>G122*0.9</f>
        <v>188.01719324999999</v>
      </c>
      <c r="I122" s="35">
        <f>H122*0.94</f>
        <v>176.73616165499999</v>
      </c>
      <c r="J122" s="35">
        <f t="shared" ref="J122:M128" si="12">I122*0.95</f>
        <v>167.89935357224999</v>
      </c>
      <c r="K122" s="35">
        <f t="shared" si="12"/>
        <v>159.50438589363748</v>
      </c>
      <c r="L122" s="35">
        <f t="shared" si="12"/>
        <v>151.52916659895558</v>
      </c>
      <c r="M122" s="35">
        <f t="shared" si="12"/>
        <v>143.95270826900779</v>
      </c>
      <c r="N122" s="35">
        <f t="shared" si="10"/>
        <v>136.75507285555739</v>
      </c>
      <c r="O122" s="35">
        <f t="shared" ref="O122:Q128" si="13">N122*0.95</f>
        <v>129.91731921277952</v>
      </c>
      <c r="P122" s="35">
        <f t="shared" si="13"/>
        <v>123.42145325214054</v>
      </c>
      <c r="Q122" s="34">
        <f t="shared" si="13"/>
        <v>117.25038058953351</v>
      </c>
    </row>
    <row r="123" spans="1:17" ht="15">
      <c r="A123" s="80" t="s">
        <v>167</v>
      </c>
      <c r="B123" s="66">
        <v>250</v>
      </c>
      <c r="C123" s="67">
        <v>162</v>
      </c>
      <c r="D123" s="35">
        <f>C123*0.95</f>
        <v>153.9</v>
      </c>
      <c r="E123" s="35">
        <f t="shared" si="11"/>
        <v>146.20500000000001</v>
      </c>
      <c r="F123" s="35">
        <f t="shared" si="11"/>
        <v>138.89475000000002</v>
      </c>
      <c r="G123" s="35">
        <f t="shared" si="11"/>
        <v>131.95001250000001</v>
      </c>
      <c r="H123" s="35">
        <f t="shared" ref="H123:I128" si="14">G123*0.95</f>
        <v>125.352511875</v>
      </c>
      <c r="I123" s="35">
        <f t="shared" si="14"/>
        <v>119.08488628124999</v>
      </c>
      <c r="J123" s="35">
        <f t="shared" si="12"/>
        <v>113.13064196718749</v>
      </c>
      <c r="K123" s="35">
        <f t="shared" si="12"/>
        <v>107.47410986882811</v>
      </c>
      <c r="L123" s="35">
        <f t="shared" si="12"/>
        <v>102.1004043753867</v>
      </c>
      <c r="M123" s="35">
        <f t="shared" si="12"/>
        <v>96.995384156617362</v>
      </c>
      <c r="N123" s="35">
        <f t="shared" si="10"/>
        <v>92.145614948786488</v>
      </c>
      <c r="O123" s="35">
        <f t="shared" si="13"/>
        <v>87.538334201347155</v>
      </c>
      <c r="P123" s="35">
        <f t="shared" si="13"/>
        <v>83.161417491279792</v>
      </c>
      <c r="Q123" s="34">
        <f t="shared" si="13"/>
        <v>79.003346616715802</v>
      </c>
    </row>
    <row r="124" spans="1:17" ht="15">
      <c r="A124" s="80" t="s">
        <v>168</v>
      </c>
      <c r="B124" s="66">
        <v>210</v>
      </c>
      <c r="C124" s="67">
        <v>132</v>
      </c>
      <c r="D124" s="35">
        <f>C124*0.92</f>
        <v>121.44000000000001</v>
      </c>
      <c r="E124" s="35">
        <f t="shared" si="11"/>
        <v>115.36800000000001</v>
      </c>
      <c r="F124" s="35">
        <f t="shared" si="11"/>
        <v>109.59960000000001</v>
      </c>
      <c r="G124" s="35">
        <f t="shared" si="11"/>
        <v>104.11962</v>
      </c>
      <c r="H124" s="35">
        <f t="shared" si="14"/>
        <v>98.913638999999989</v>
      </c>
      <c r="I124" s="35">
        <f t="shared" si="14"/>
        <v>93.967957049999981</v>
      </c>
      <c r="J124" s="35">
        <f t="shared" si="12"/>
        <v>89.269559197499973</v>
      </c>
      <c r="K124" s="35">
        <f t="shared" si="12"/>
        <v>84.806081237624966</v>
      </c>
      <c r="L124" s="35">
        <f t="shared" si="12"/>
        <v>80.565777175743719</v>
      </c>
      <c r="M124" s="35">
        <f t="shared" si="12"/>
        <v>76.537488316956527</v>
      </c>
      <c r="N124" s="35">
        <f t="shared" si="10"/>
        <v>72.710613901108701</v>
      </c>
      <c r="O124" s="35">
        <f t="shared" si="13"/>
        <v>69.075083206053264</v>
      </c>
      <c r="P124" s="35">
        <f t="shared" si="13"/>
        <v>65.621329045750599</v>
      </c>
      <c r="Q124" s="34">
        <f t="shared" si="13"/>
        <v>62.340262593463066</v>
      </c>
    </row>
    <row r="125" spans="1:17" ht="15">
      <c r="A125" s="80" t="s">
        <v>169</v>
      </c>
      <c r="B125" s="66">
        <v>250</v>
      </c>
      <c r="C125" s="67">
        <v>106</v>
      </c>
      <c r="D125" s="35">
        <f>C125*0.97</f>
        <v>102.82</v>
      </c>
      <c r="E125" s="35">
        <f t="shared" si="11"/>
        <v>97.678999999999988</v>
      </c>
      <c r="F125" s="35">
        <f t="shared" si="11"/>
        <v>92.795049999999989</v>
      </c>
      <c r="G125" s="35">
        <f t="shared" si="11"/>
        <v>88.155297499999989</v>
      </c>
      <c r="H125" s="35">
        <f t="shared" si="14"/>
        <v>83.747532624999991</v>
      </c>
      <c r="I125" s="35">
        <f t="shared" si="14"/>
        <v>79.560155993749987</v>
      </c>
      <c r="J125" s="35">
        <f t="shared" si="12"/>
        <v>75.582148194062484</v>
      </c>
      <c r="K125" s="35">
        <f t="shared" si="12"/>
        <v>71.803040784359354</v>
      </c>
      <c r="L125" s="35">
        <f t="shared" si="12"/>
        <v>68.212888745141385</v>
      </c>
      <c r="M125" s="35">
        <f t="shared" si="12"/>
        <v>64.802244307884308</v>
      </c>
      <c r="N125" s="35">
        <f t="shared" si="10"/>
        <v>61.562132092490089</v>
      </c>
      <c r="O125" s="35">
        <f t="shared" si="13"/>
        <v>58.48402548786558</v>
      </c>
      <c r="P125" s="35">
        <f t="shared" si="13"/>
        <v>55.559824213472297</v>
      </c>
      <c r="Q125" s="34">
        <f t="shared" si="13"/>
        <v>52.781833002798678</v>
      </c>
    </row>
    <row r="126" spans="1:17" ht="15">
      <c r="A126" s="80" t="s">
        <v>170</v>
      </c>
      <c r="B126" s="66">
        <v>220</v>
      </c>
      <c r="C126" s="67">
        <v>72</v>
      </c>
      <c r="D126" s="35">
        <f>C126*0.93</f>
        <v>66.960000000000008</v>
      </c>
      <c r="E126" s="35">
        <f t="shared" si="11"/>
        <v>63.612000000000002</v>
      </c>
      <c r="F126" s="35">
        <f t="shared" si="11"/>
        <v>60.431399999999996</v>
      </c>
      <c r="G126" s="35">
        <f t="shared" si="11"/>
        <v>57.409829999999992</v>
      </c>
      <c r="H126" s="35">
        <f t="shared" si="14"/>
        <v>54.539338499999992</v>
      </c>
      <c r="I126" s="35">
        <f t="shared" si="14"/>
        <v>51.812371574999993</v>
      </c>
      <c r="J126" s="35">
        <f t="shared" si="12"/>
        <v>49.22175299624999</v>
      </c>
      <c r="K126" s="35">
        <f t="shared" si="12"/>
        <v>46.760665346437484</v>
      </c>
      <c r="L126" s="35">
        <f t="shared" si="12"/>
        <v>44.422632079115608</v>
      </c>
      <c r="M126" s="35">
        <f t="shared" si="12"/>
        <v>42.201500475159825</v>
      </c>
      <c r="N126" s="35">
        <f t="shared" si="10"/>
        <v>40.091425451401832</v>
      </c>
      <c r="O126" s="35">
        <f t="shared" si="13"/>
        <v>38.086854178831736</v>
      </c>
      <c r="P126" s="35">
        <f t="shared" si="13"/>
        <v>36.182511469890144</v>
      </c>
      <c r="Q126" s="34">
        <f t="shared" si="13"/>
        <v>34.373385896395632</v>
      </c>
    </row>
    <row r="127" spans="1:17" ht="15">
      <c r="A127" s="80" t="s">
        <v>171</v>
      </c>
      <c r="B127" s="66">
        <v>270</v>
      </c>
      <c r="C127" s="67">
        <v>68</v>
      </c>
      <c r="D127" s="35">
        <f>C127*0.95</f>
        <v>64.599999999999994</v>
      </c>
      <c r="E127" s="35">
        <f t="shared" si="11"/>
        <v>61.36999999999999</v>
      </c>
      <c r="F127" s="35">
        <f t="shared" si="11"/>
        <v>58.30149999999999</v>
      </c>
      <c r="G127" s="35">
        <f t="shared" si="11"/>
        <v>55.386424999999988</v>
      </c>
      <c r="H127" s="35">
        <f t="shared" si="14"/>
        <v>52.617103749999984</v>
      </c>
      <c r="I127" s="35">
        <f t="shared" si="14"/>
        <v>49.986248562499981</v>
      </c>
      <c r="J127" s="35">
        <f t="shared" si="12"/>
        <v>47.486936134374979</v>
      </c>
      <c r="K127" s="35">
        <f t="shared" si="12"/>
        <v>45.112589327656231</v>
      </c>
      <c r="L127" s="35">
        <f t="shared" si="12"/>
        <v>42.856959861273417</v>
      </c>
      <c r="M127" s="35">
        <f t="shared" si="12"/>
        <v>40.714111868209741</v>
      </c>
      <c r="N127" s="35">
        <f t="shared" si="10"/>
        <v>38.678406274799251</v>
      </c>
      <c r="O127" s="35">
        <f t="shared" si="13"/>
        <v>36.74448596105929</v>
      </c>
      <c r="P127" s="35">
        <f t="shared" si="13"/>
        <v>34.907261663006324</v>
      </c>
      <c r="Q127" s="34">
        <f t="shared" si="13"/>
        <v>33.161898579856008</v>
      </c>
    </row>
    <row r="128" spans="1:17" ht="15">
      <c r="A128" s="80" t="s">
        <v>172</v>
      </c>
      <c r="B128" s="66">
        <v>200</v>
      </c>
      <c r="C128" s="68">
        <v>42</v>
      </c>
      <c r="D128" s="69">
        <f>C128*0.94</f>
        <v>39.479999999999997</v>
      </c>
      <c r="E128" s="69">
        <f t="shared" si="11"/>
        <v>37.505999999999993</v>
      </c>
      <c r="F128" s="69">
        <f t="shared" si="11"/>
        <v>35.63069999999999</v>
      </c>
      <c r="G128" s="69">
        <f t="shared" si="11"/>
        <v>33.849164999999992</v>
      </c>
      <c r="H128" s="69">
        <f t="shared" si="14"/>
        <v>32.156706749999991</v>
      </c>
      <c r="I128" s="69">
        <f t="shared" si="14"/>
        <v>30.548871412499988</v>
      </c>
      <c r="J128" s="69">
        <f t="shared" si="12"/>
        <v>29.021427841874988</v>
      </c>
      <c r="K128" s="69">
        <f t="shared" si="12"/>
        <v>27.570356449781237</v>
      </c>
      <c r="L128" s="69">
        <f t="shared" si="12"/>
        <v>26.191838627292174</v>
      </c>
      <c r="M128" s="69">
        <f t="shared" si="12"/>
        <v>24.882246695927563</v>
      </c>
      <c r="N128" s="69">
        <f t="shared" si="10"/>
        <v>23.638134361131183</v>
      </c>
      <c r="O128" s="69">
        <f t="shared" si="13"/>
        <v>22.456227643074623</v>
      </c>
      <c r="P128" s="69">
        <f t="shared" si="13"/>
        <v>21.333416260920892</v>
      </c>
      <c r="Q128" s="70">
        <f t="shared" si="13"/>
        <v>20.266745447874847</v>
      </c>
    </row>
    <row r="131" spans="1:17" ht="13.2">
      <c r="C131" s="22"/>
      <c r="D131" s="22"/>
      <c r="E131" s="22"/>
      <c r="F131" s="22"/>
      <c r="G131" s="22"/>
      <c r="H131" s="22"/>
      <c r="I131" s="22"/>
      <c r="J131" s="22"/>
      <c r="K131" s="22"/>
      <c r="L131" s="22"/>
      <c r="M131" s="22"/>
      <c r="N131" s="22"/>
      <c r="O131" s="22"/>
      <c r="P131" s="22"/>
      <c r="Q131" s="22"/>
    </row>
    <row r="132" spans="1:17" ht="13.2">
      <c r="A132" s="191"/>
      <c r="B132" s="156"/>
      <c r="C132" s="193" t="s">
        <v>173</v>
      </c>
      <c r="D132" s="141"/>
      <c r="E132" s="141"/>
      <c r="F132" s="141"/>
      <c r="G132" s="141"/>
      <c r="H132" s="141"/>
      <c r="I132" s="141"/>
      <c r="J132" s="141"/>
      <c r="K132" s="141"/>
      <c r="L132" s="141"/>
      <c r="M132" s="141"/>
      <c r="N132" s="141"/>
      <c r="O132" s="141"/>
      <c r="P132" s="141"/>
      <c r="Q132" s="142"/>
    </row>
    <row r="133" spans="1:17" ht="13.2">
      <c r="A133" s="159"/>
      <c r="B133" s="139"/>
      <c r="C133" s="193" t="s">
        <v>128</v>
      </c>
      <c r="D133" s="141"/>
      <c r="E133" s="141"/>
      <c r="F133" s="141"/>
      <c r="G133" s="141"/>
      <c r="H133" s="141"/>
      <c r="I133" s="141"/>
      <c r="J133" s="141"/>
      <c r="K133" s="141"/>
      <c r="L133" s="141"/>
      <c r="M133" s="141"/>
      <c r="N133" s="141"/>
      <c r="O133" s="141"/>
      <c r="P133" s="141"/>
      <c r="Q133" s="142"/>
    </row>
    <row r="134" spans="1:17" ht="15">
      <c r="A134" s="78" t="s">
        <v>165</v>
      </c>
      <c r="B134" s="79" t="s">
        <v>149</v>
      </c>
      <c r="C134" s="59">
        <v>0</v>
      </c>
      <c r="D134" s="59">
        <v>1</v>
      </c>
      <c r="E134" s="59">
        <v>2</v>
      </c>
      <c r="F134" s="59">
        <v>3</v>
      </c>
      <c r="G134" s="59">
        <v>4</v>
      </c>
      <c r="H134" s="59">
        <v>5</v>
      </c>
      <c r="I134" s="59">
        <v>6</v>
      </c>
      <c r="J134" s="59">
        <v>7</v>
      </c>
      <c r="K134" s="59">
        <v>8</v>
      </c>
      <c r="L134" s="59">
        <v>9</v>
      </c>
      <c r="M134" s="59">
        <v>10</v>
      </c>
      <c r="N134" s="59">
        <v>11</v>
      </c>
      <c r="O134" s="59">
        <v>12</v>
      </c>
      <c r="P134" s="59">
        <v>13</v>
      </c>
      <c r="Q134" s="59">
        <v>14</v>
      </c>
    </row>
    <row r="135" spans="1:17" ht="15">
      <c r="A135" s="60" t="s">
        <v>131</v>
      </c>
      <c r="B135" s="61">
        <f>SUM(B136:B142)</f>
        <v>1900</v>
      </c>
      <c r="C135" s="81">
        <v>0.46</v>
      </c>
      <c r="D135" s="72">
        <v>0.42</v>
      </c>
      <c r="E135" s="72">
        <v>0.39</v>
      </c>
      <c r="F135" s="72">
        <v>0.36</v>
      </c>
      <c r="G135" s="72">
        <v>0.36</v>
      </c>
      <c r="H135" s="72">
        <v>0.34</v>
      </c>
      <c r="I135" s="72">
        <v>0.33</v>
      </c>
      <c r="J135" s="72">
        <v>0.3</v>
      </c>
      <c r="K135" s="72">
        <v>0.27</v>
      </c>
      <c r="L135" s="72">
        <v>0.27</v>
      </c>
      <c r="M135" s="72">
        <v>0.26</v>
      </c>
      <c r="N135" s="72">
        <v>0.25</v>
      </c>
      <c r="O135" s="72">
        <v>0.23</v>
      </c>
      <c r="P135" s="72">
        <v>0.21</v>
      </c>
      <c r="Q135" s="73">
        <v>0.2</v>
      </c>
    </row>
    <row r="136" spans="1:17" ht="15">
      <c r="A136" s="80" t="s">
        <v>166</v>
      </c>
      <c r="B136" s="66">
        <v>500</v>
      </c>
      <c r="C136" s="74">
        <v>0.52</v>
      </c>
      <c r="D136" s="75">
        <v>0.49</v>
      </c>
      <c r="E136" s="75">
        <v>0.46</v>
      </c>
      <c r="F136" s="75">
        <v>0.44</v>
      </c>
      <c r="G136" s="75">
        <v>0.42</v>
      </c>
      <c r="H136" s="75">
        <v>0.38</v>
      </c>
      <c r="I136" s="75">
        <v>0.35</v>
      </c>
      <c r="J136" s="75">
        <v>0.34</v>
      </c>
      <c r="K136" s="75">
        <v>0.32</v>
      </c>
      <c r="L136" s="75">
        <v>0.3</v>
      </c>
      <c r="M136" s="75">
        <v>0.28999999999999998</v>
      </c>
      <c r="N136" s="75">
        <v>0.27</v>
      </c>
      <c r="O136" s="75">
        <v>0.26</v>
      </c>
      <c r="P136" s="75">
        <v>0.25</v>
      </c>
      <c r="Q136" s="76">
        <v>0.23</v>
      </c>
    </row>
    <row r="137" spans="1:17" ht="15">
      <c r="A137" s="80" t="s">
        <v>167</v>
      </c>
      <c r="B137" s="66">
        <v>250</v>
      </c>
      <c r="C137" s="74">
        <v>0.65</v>
      </c>
      <c r="D137" s="75">
        <v>0.62</v>
      </c>
      <c r="E137" s="75">
        <v>0.57999999999999996</v>
      </c>
      <c r="F137" s="75">
        <v>0.56000000000000005</v>
      </c>
      <c r="G137" s="75">
        <v>0.53</v>
      </c>
      <c r="H137" s="75">
        <v>0.5</v>
      </c>
      <c r="I137" s="75">
        <v>0.48</v>
      </c>
      <c r="J137" s="75">
        <v>0.45</v>
      </c>
      <c r="K137" s="75">
        <v>0.43</v>
      </c>
      <c r="L137" s="75">
        <v>0.41</v>
      </c>
      <c r="M137" s="75">
        <v>0.39</v>
      </c>
      <c r="N137" s="75">
        <v>0.37</v>
      </c>
      <c r="O137" s="75">
        <v>0.35</v>
      </c>
      <c r="P137" s="75">
        <v>0.33</v>
      </c>
      <c r="Q137" s="76">
        <v>0.32</v>
      </c>
    </row>
    <row r="138" spans="1:17" ht="15">
      <c r="A138" s="80" t="s">
        <v>168</v>
      </c>
      <c r="B138" s="66">
        <v>210</v>
      </c>
      <c r="C138" s="74">
        <v>0.63</v>
      </c>
      <c r="D138" s="75">
        <v>0.57999999999999996</v>
      </c>
      <c r="E138" s="75">
        <v>0.55000000000000004</v>
      </c>
      <c r="F138" s="75">
        <v>0.52</v>
      </c>
      <c r="G138" s="75">
        <v>0.5</v>
      </c>
      <c r="H138" s="75">
        <v>0.47</v>
      </c>
      <c r="I138" s="75">
        <v>0.45</v>
      </c>
      <c r="J138" s="75">
        <v>0.43</v>
      </c>
      <c r="K138" s="75">
        <v>0.4</v>
      </c>
      <c r="L138" s="75">
        <v>0.38</v>
      </c>
      <c r="M138" s="75">
        <v>0.36</v>
      </c>
      <c r="N138" s="75">
        <v>0.35</v>
      </c>
      <c r="O138" s="75">
        <v>0.33</v>
      </c>
      <c r="P138" s="75">
        <v>0.31</v>
      </c>
      <c r="Q138" s="76">
        <v>0.3</v>
      </c>
    </row>
    <row r="139" spans="1:17" ht="15">
      <c r="A139" s="80" t="s">
        <v>169</v>
      </c>
      <c r="B139" s="66">
        <v>250</v>
      </c>
      <c r="C139" s="74">
        <v>0.42</v>
      </c>
      <c r="D139" s="75">
        <v>0.41</v>
      </c>
      <c r="E139" s="75">
        <v>0.39</v>
      </c>
      <c r="F139" s="75">
        <v>0.37</v>
      </c>
      <c r="G139" s="75">
        <v>0.35</v>
      </c>
      <c r="H139" s="75">
        <v>0.33</v>
      </c>
      <c r="I139" s="75">
        <v>0.32</v>
      </c>
      <c r="J139" s="75">
        <v>0.3</v>
      </c>
      <c r="K139" s="75">
        <v>0.28999999999999998</v>
      </c>
      <c r="L139" s="75">
        <v>0.27</v>
      </c>
      <c r="M139" s="75">
        <v>0.26</v>
      </c>
      <c r="N139" s="75">
        <v>0.25</v>
      </c>
      <c r="O139" s="75">
        <v>0.23</v>
      </c>
      <c r="P139" s="75">
        <v>0.22</v>
      </c>
      <c r="Q139" s="76">
        <v>0.21</v>
      </c>
    </row>
    <row r="140" spans="1:17" ht="15">
      <c r="A140" s="80" t="s">
        <v>170</v>
      </c>
      <c r="B140" s="66">
        <v>220</v>
      </c>
      <c r="C140" s="74">
        <v>0.33</v>
      </c>
      <c r="D140" s="75">
        <v>0.3</v>
      </c>
      <c r="E140" s="75">
        <v>0.28999999999999998</v>
      </c>
      <c r="F140" s="75">
        <v>0.27</v>
      </c>
      <c r="G140" s="75">
        <v>0.26</v>
      </c>
      <c r="H140" s="75">
        <v>0.25</v>
      </c>
      <c r="I140" s="75">
        <v>0.24</v>
      </c>
      <c r="J140" s="75">
        <v>0.22</v>
      </c>
      <c r="K140" s="75">
        <v>0.21</v>
      </c>
      <c r="L140" s="75">
        <v>0.2</v>
      </c>
      <c r="M140" s="75">
        <v>0.19</v>
      </c>
      <c r="N140" s="75">
        <v>0.18</v>
      </c>
      <c r="O140" s="75">
        <v>0.17</v>
      </c>
      <c r="P140" s="75">
        <v>0.16</v>
      </c>
      <c r="Q140" s="76">
        <v>0.16</v>
      </c>
    </row>
    <row r="141" spans="1:17" ht="15">
      <c r="A141" s="80" t="s">
        <v>171</v>
      </c>
      <c r="B141" s="66">
        <v>270</v>
      </c>
      <c r="C141" s="74">
        <v>0.25</v>
      </c>
      <c r="D141" s="75">
        <v>0.24</v>
      </c>
      <c r="E141" s="75">
        <v>0.23</v>
      </c>
      <c r="F141" s="75">
        <v>0.22</v>
      </c>
      <c r="G141" s="75">
        <v>0.21</v>
      </c>
      <c r="H141" s="75">
        <v>0.19</v>
      </c>
      <c r="I141" s="75">
        <v>0.19</v>
      </c>
      <c r="J141" s="75">
        <v>0.18</v>
      </c>
      <c r="K141" s="75">
        <v>0.17</v>
      </c>
      <c r="L141" s="75">
        <v>0.16</v>
      </c>
      <c r="M141" s="75">
        <v>0.15</v>
      </c>
      <c r="N141" s="75">
        <v>0.14000000000000001</v>
      </c>
      <c r="O141" s="75">
        <v>0.14000000000000001</v>
      </c>
      <c r="P141" s="75">
        <v>0.13</v>
      </c>
      <c r="Q141" s="76">
        <v>0.12</v>
      </c>
    </row>
    <row r="142" spans="1:17" ht="15">
      <c r="A142" s="80" t="s">
        <v>172</v>
      </c>
      <c r="B142" s="66">
        <v>200</v>
      </c>
      <c r="C142" s="74">
        <v>0.21</v>
      </c>
      <c r="D142" s="75">
        <v>0.2</v>
      </c>
      <c r="E142" s="75">
        <v>0.19</v>
      </c>
      <c r="F142" s="75">
        <v>0.18</v>
      </c>
      <c r="G142" s="75">
        <v>0.17</v>
      </c>
      <c r="H142" s="75">
        <v>0.16</v>
      </c>
      <c r="I142" s="75">
        <v>0.15</v>
      </c>
      <c r="J142" s="75">
        <v>0.15</v>
      </c>
      <c r="K142" s="75">
        <v>0.14000000000000001</v>
      </c>
      <c r="L142" s="75">
        <v>0.13</v>
      </c>
      <c r="M142" s="75">
        <v>0.12</v>
      </c>
      <c r="N142" s="75">
        <v>0.12</v>
      </c>
      <c r="O142" s="75">
        <v>0.11</v>
      </c>
      <c r="P142" s="75">
        <v>0.11</v>
      </c>
      <c r="Q142" s="76">
        <v>0.1</v>
      </c>
    </row>
    <row r="143" spans="1:17" ht="15">
      <c r="A143" s="187" t="s">
        <v>104</v>
      </c>
      <c r="B143" s="139"/>
      <c r="C143" s="82">
        <v>0.43</v>
      </c>
      <c r="D143" s="82">
        <v>0.41</v>
      </c>
      <c r="E143" s="82">
        <v>0.39</v>
      </c>
      <c r="F143" s="82">
        <v>0.36</v>
      </c>
      <c r="G143" s="82">
        <v>0.35</v>
      </c>
      <c r="H143" s="82">
        <v>0.33</v>
      </c>
      <c r="I143" s="82">
        <v>0.31</v>
      </c>
      <c r="J143" s="82">
        <v>0.3</v>
      </c>
      <c r="K143" s="82">
        <v>0.28000000000000003</v>
      </c>
      <c r="L143" s="82">
        <v>0.27</v>
      </c>
      <c r="M143" s="82">
        <v>0.25</v>
      </c>
      <c r="N143" s="82">
        <v>0.24</v>
      </c>
      <c r="O143" s="82">
        <v>0.23</v>
      </c>
      <c r="P143" s="82">
        <v>0.21</v>
      </c>
      <c r="Q143" s="82">
        <v>0.21</v>
      </c>
    </row>
    <row r="146" spans="2:17" ht="13.2">
      <c r="B146" s="184"/>
      <c r="C146" s="180"/>
      <c r="D146" s="180"/>
      <c r="E146" s="180"/>
      <c r="F146" s="180"/>
      <c r="G146" s="180"/>
      <c r="H146" s="180"/>
      <c r="I146" s="180"/>
      <c r="J146" s="156"/>
    </row>
    <row r="147" spans="2:17" ht="13.2">
      <c r="B147" s="157"/>
      <c r="C147" s="148"/>
      <c r="D147" s="148"/>
      <c r="E147" s="148"/>
      <c r="F147" s="148"/>
      <c r="G147" s="148"/>
      <c r="H147" s="148"/>
      <c r="I147" s="148"/>
      <c r="J147" s="158"/>
      <c r="L147" s="190" t="s">
        <v>174</v>
      </c>
      <c r="M147" s="156"/>
      <c r="N147" s="151" t="s">
        <v>175</v>
      </c>
      <c r="O147" s="180"/>
      <c r="P147" s="156"/>
    </row>
    <row r="148" spans="2:17" ht="13.2">
      <c r="B148" s="157"/>
      <c r="C148" s="148"/>
      <c r="D148" s="148"/>
      <c r="E148" s="148"/>
      <c r="F148" s="148"/>
      <c r="G148" s="148"/>
      <c r="H148" s="148"/>
      <c r="I148" s="148"/>
      <c r="J148" s="158"/>
      <c r="L148" s="159"/>
      <c r="M148" s="139"/>
      <c r="N148" s="159"/>
      <c r="O148" s="138"/>
      <c r="P148" s="139"/>
    </row>
    <row r="149" spans="2:17" ht="13.2">
      <c r="B149" s="157"/>
      <c r="C149" s="148"/>
      <c r="D149" s="148"/>
      <c r="E149" s="148"/>
      <c r="F149" s="148"/>
      <c r="G149" s="148"/>
      <c r="H149" s="148"/>
      <c r="I149" s="148"/>
      <c r="J149" s="158"/>
      <c r="L149" s="77"/>
      <c r="M149" s="77"/>
    </row>
    <row r="150" spans="2:17" ht="13.2">
      <c r="B150" s="157"/>
      <c r="C150" s="148"/>
      <c r="D150" s="148"/>
      <c r="E150" s="148"/>
      <c r="F150" s="148"/>
      <c r="G150" s="148"/>
      <c r="H150" s="148"/>
      <c r="I150" s="148"/>
      <c r="J150" s="158"/>
      <c r="L150" s="190" t="s">
        <v>176</v>
      </c>
      <c r="M150" s="156"/>
      <c r="N150" s="151" t="s">
        <v>177</v>
      </c>
      <c r="O150" s="180"/>
      <c r="P150" s="156"/>
    </row>
    <row r="151" spans="2:17" ht="13.2">
      <c r="B151" s="157"/>
      <c r="C151" s="148"/>
      <c r="D151" s="148"/>
      <c r="E151" s="148"/>
      <c r="F151" s="148"/>
      <c r="G151" s="148"/>
      <c r="H151" s="148"/>
      <c r="I151" s="148"/>
      <c r="J151" s="158"/>
      <c r="L151" s="159"/>
      <c r="M151" s="139"/>
      <c r="N151" s="159"/>
      <c r="O151" s="138"/>
      <c r="P151" s="139"/>
    </row>
    <row r="152" spans="2:17" ht="13.2">
      <c r="B152" s="157"/>
      <c r="C152" s="148"/>
      <c r="D152" s="148"/>
      <c r="E152" s="148"/>
      <c r="F152" s="148"/>
      <c r="G152" s="148"/>
      <c r="H152" s="148"/>
      <c r="I152" s="148"/>
      <c r="J152" s="158"/>
      <c r="L152" s="77"/>
      <c r="M152" s="77"/>
    </row>
    <row r="153" spans="2:17" ht="13.2">
      <c r="B153" s="157"/>
      <c r="C153" s="148"/>
      <c r="D153" s="148"/>
      <c r="E153" s="148"/>
      <c r="F153" s="148"/>
      <c r="G153" s="148"/>
      <c r="H153" s="148"/>
      <c r="I153" s="148"/>
      <c r="J153" s="158"/>
      <c r="L153" s="190" t="s">
        <v>145</v>
      </c>
      <c r="M153" s="156"/>
      <c r="N153" s="164" t="s">
        <v>178</v>
      </c>
      <c r="O153" s="180"/>
      <c r="P153" s="180"/>
      <c r="Q153" s="156"/>
    </row>
    <row r="154" spans="2:17" ht="13.2">
      <c r="B154" s="157"/>
      <c r="C154" s="148"/>
      <c r="D154" s="148"/>
      <c r="E154" s="148"/>
      <c r="F154" s="148"/>
      <c r="G154" s="148"/>
      <c r="H154" s="148"/>
      <c r="I154" s="148"/>
      <c r="J154" s="158"/>
      <c r="L154" s="157"/>
      <c r="M154" s="158"/>
      <c r="N154" s="157"/>
      <c r="O154" s="148"/>
      <c r="P154" s="148"/>
      <c r="Q154" s="158"/>
    </row>
    <row r="155" spans="2:17" ht="13.2">
      <c r="B155" s="157"/>
      <c r="C155" s="148"/>
      <c r="D155" s="148"/>
      <c r="E155" s="148"/>
      <c r="F155" s="148"/>
      <c r="G155" s="148"/>
      <c r="H155" s="148"/>
      <c r="I155" s="148"/>
      <c r="J155" s="158"/>
      <c r="L155" s="157"/>
      <c r="M155" s="158"/>
      <c r="N155" s="157"/>
      <c r="O155" s="148"/>
      <c r="P155" s="148"/>
      <c r="Q155" s="158"/>
    </row>
    <row r="156" spans="2:17" ht="13.2">
      <c r="B156" s="157"/>
      <c r="C156" s="148"/>
      <c r="D156" s="148"/>
      <c r="E156" s="148"/>
      <c r="F156" s="148"/>
      <c r="G156" s="148"/>
      <c r="H156" s="148"/>
      <c r="I156" s="148"/>
      <c r="J156" s="158"/>
      <c r="L156" s="157"/>
      <c r="M156" s="158"/>
      <c r="N156" s="157"/>
      <c r="O156" s="148"/>
      <c r="P156" s="148"/>
      <c r="Q156" s="158"/>
    </row>
    <row r="157" spans="2:17" ht="13.2">
      <c r="B157" s="157"/>
      <c r="C157" s="148"/>
      <c r="D157" s="148"/>
      <c r="E157" s="148"/>
      <c r="F157" s="148"/>
      <c r="G157" s="148"/>
      <c r="H157" s="148"/>
      <c r="I157" s="148"/>
      <c r="J157" s="158"/>
      <c r="L157" s="157"/>
      <c r="M157" s="158"/>
      <c r="N157" s="157"/>
      <c r="O157" s="148"/>
      <c r="P157" s="148"/>
      <c r="Q157" s="158"/>
    </row>
    <row r="158" spans="2:17" ht="13.2">
      <c r="B158" s="157"/>
      <c r="C158" s="148"/>
      <c r="D158" s="148"/>
      <c r="E158" s="148"/>
      <c r="F158" s="148"/>
      <c r="G158" s="148"/>
      <c r="H158" s="148"/>
      <c r="I158" s="148"/>
      <c r="J158" s="158"/>
      <c r="L158" s="159"/>
      <c r="M158" s="139"/>
      <c r="N158" s="159"/>
      <c r="O158" s="138"/>
      <c r="P158" s="138"/>
      <c r="Q158" s="139"/>
    </row>
    <row r="159" spans="2:17" ht="13.2">
      <c r="B159" s="157"/>
      <c r="C159" s="148"/>
      <c r="D159" s="148"/>
      <c r="E159" s="148"/>
      <c r="F159" s="148"/>
      <c r="G159" s="148"/>
      <c r="H159" s="148"/>
      <c r="I159" s="148"/>
      <c r="J159" s="158"/>
    </row>
    <row r="160" spans="2:17" ht="13.2">
      <c r="B160" s="157"/>
      <c r="C160" s="148"/>
      <c r="D160" s="148"/>
      <c r="E160" s="148"/>
      <c r="F160" s="148"/>
      <c r="G160" s="148"/>
      <c r="H160" s="148"/>
      <c r="I160" s="148"/>
      <c r="J160" s="158"/>
    </row>
    <row r="161" spans="1:17" ht="13.2">
      <c r="B161" s="157"/>
      <c r="C161" s="148"/>
      <c r="D161" s="148"/>
      <c r="E161" s="148"/>
      <c r="F161" s="148"/>
      <c r="G161" s="148"/>
      <c r="H161" s="148"/>
      <c r="I161" s="148"/>
      <c r="J161" s="158"/>
    </row>
    <row r="162" spans="1:17" ht="13.2">
      <c r="B162" s="157"/>
      <c r="C162" s="148"/>
      <c r="D162" s="148"/>
      <c r="E162" s="148"/>
      <c r="F162" s="148"/>
      <c r="G162" s="148"/>
      <c r="H162" s="148"/>
      <c r="I162" s="148"/>
      <c r="J162" s="158"/>
    </row>
    <row r="163" spans="1:17" ht="13.2">
      <c r="B163" s="157"/>
      <c r="C163" s="148"/>
      <c r="D163" s="148"/>
      <c r="E163" s="148"/>
      <c r="F163" s="148"/>
      <c r="G163" s="148"/>
      <c r="H163" s="148"/>
      <c r="I163" s="148"/>
      <c r="J163" s="158"/>
    </row>
    <row r="164" spans="1:17" ht="13.2">
      <c r="B164" s="157"/>
      <c r="C164" s="148"/>
      <c r="D164" s="148"/>
      <c r="E164" s="148"/>
      <c r="F164" s="148"/>
      <c r="G164" s="148"/>
      <c r="H164" s="148"/>
      <c r="I164" s="148"/>
      <c r="J164" s="158"/>
    </row>
    <row r="165" spans="1:17" ht="13.2">
      <c r="B165" s="157"/>
      <c r="C165" s="148"/>
      <c r="D165" s="148"/>
      <c r="E165" s="148"/>
      <c r="F165" s="148"/>
      <c r="G165" s="148"/>
      <c r="H165" s="148"/>
      <c r="I165" s="148"/>
      <c r="J165" s="158"/>
    </row>
    <row r="166" spans="1:17" ht="13.2">
      <c r="B166" s="159"/>
      <c r="C166" s="138"/>
      <c r="D166" s="138"/>
      <c r="E166" s="138"/>
      <c r="F166" s="138"/>
      <c r="G166" s="138"/>
      <c r="H166" s="138"/>
      <c r="I166" s="138"/>
      <c r="J166" s="139"/>
    </row>
    <row r="170" spans="1:17" ht="13.2">
      <c r="A170" s="191"/>
      <c r="B170" s="156"/>
      <c r="C170" s="193" t="s">
        <v>179</v>
      </c>
      <c r="D170" s="141"/>
      <c r="E170" s="141"/>
      <c r="F170" s="141"/>
      <c r="G170" s="141"/>
      <c r="H170" s="141"/>
      <c r="I170" s="141"/>
      <c r="J170" s="141"/>
      <c r="K170" s="141"/>
      <c r="L170" s="141"/>
      <c r="M170" s="141"/>
      <c r="N170" s="141"/>
      <c r="O170" s="141"/>
      <c r="P170" s="141"/>
      <c r="Q170" s="142"/>
    </row>
    <row r="171" spans="1:17" ht="13.2">
      <c r="A171" s="159"/>
      <c r="B171" s="139"/>
      <c r="C171" s="193" t="s">
        <v>180</v>
      </c>
      <c r="D171" s="141"/>
      <c r="E171" s="141"/>
      <c r="F171" s="141"/>
      <c r="G171" s="141"/>
      <c r="H171" s="141"/>
      <c r="I171" s="141"/>
      <c r="J171" s="141"/>
      <c r="K171" s="141"/>
      <c r="L171" s="141"/>
      <c r="M171" s="141"/>
      <c r="N171" s="141"/>
      <c r="O171" s="141"/>
      <c r="P171" s="141"/>
      <c r="Q171" s="142"/>
    </row>
    <row r="172" spans="1:17" ht="15">
      <c r="A172" s="78" t="s">
        <v>181</v>
      </c>
      <c r="B172" s="79" t="s">
        <v>149</v>
      </c>
      <c r="C172" s="59">
        <v>0</v>
      </c>
      <c r="D172" s="59">
        <v>1</v>
      </c>
      <c r="E172" s="59">
        <v>2</v>
      </c>
      <c r="F172" s="59">
        <v>3</v>
      </c>
      <c r="G172" s="59">
        <v>4</v>
      </c>
      <c r="H172" s="59">
        <v>5</v>
      </c>
      <c r="I172" s="59">
        <v>6</v>
      </c>
      <c r="J172" s="59">
        <v>7</v>
      </c>
      <c r="K172" s="59">
        <v>8</v>
      </c>
      <c r="L172" s="59">
        <v>9</v>
      </c>
      <c r="M172" s="59">
        <v>10</v>
      </c>
      <c r="N172" s="59">
        <v>11</v>
      </c>
      <c r="O172" s="59">
        <v>12</v>
      </c>
      <c r="P172" s="59">
        <v>13</v>
      </c>
      <c r="Q172" s="59">
        <v>14</v>
      </c>
    </row>
    <row r="173" spans="1:17" ht="15">
      <c r="A173" s="60" t="s">
        <v>131</v>
      </c>
      <c r="B173" s="61">
        <f>SUM(B174:B178)</f>
        <v>1490</v>
      </c>
      <c r="C173" s="62">
        <v>870</v>
      </c>
      <c r="D173" s="63">
        <f>C173*0.92</f>
        <v>800.40000000000009</v>
      </c>
      <c r="E173" s="63">
        <f>D173*0.93</f>
        <v>744.37200000000007</v>
      </c>
      <c r="F173" s="63">
        <f>E173*0.93</f>
        <v>692.26596000000006</v>
      </c>
      <c r="G173" s="63">
        <f>F173*0.98</f>
        <v>678.4206408</v>
      </c>
      <c r="H173" s="63">
        <f>G173*0.94</f>
        <v>637.71540235199996</v>
      </c>
      <c r="I173" s="63">
        <f>H173*0.98</f>
        <v>624.96109430495994</v>
      </c>
      <c r="J173" s="63">
        <f>I173*0.92</f>
        <v>574.96420676056312</v>
      </c>
      <c r="K173" s="63">
        <f>J173*0.9</f>
        <v>517.46778608450677</v>
      </c>
      <c r="L173" s="63">
        <f>K173*0.98</f>
        <v>507.11843036281664</v>
      </c>
      <c r="M173" s="63">
        <f>L173*0.99</f>
        <v>502.04724605918847</v>
      </c>
      <c r="N173" s="63">
        <f t="shared" ref="N173:N178" si="15">M173*0.95</f>
        <v>476.94488375622905</v>
      </c>
      <c r="O173" s="63">
        <f>N173*0.91</f>
        <v>434.01984421816843</v>
      </c>
      <c r="P173" s="63">
        <f>O173*0.9</f>
        <v>390.61785979635158</v>
      </c>
      <c r="Q173" s="64">
        <f>P173*0.98</f>
        <v>382.80550260042452</v>
      </c>
    </row>
    <row r="174" spans="1:17" ht="15">
      <c r="A174" s="80" t="s">
        <v>182</v>
      </c>
      <c r="B174" s="66">
        <v>250</v>
      </c>
      <c r="C174" s="67">
        <v>132</v>
      </c>
      <c r="D174" s="35">
        <f>C174*0.92</f>
        <v>121.44000000000001</v>
      </c>
      <c r="E174" s="35">
        <f t="shared" ref="E174:M174" si="16">D174*0.95</f>
        <v>115.36800000000001</v>
      </c>
      <c r="F174" s="35">
        <f t="shared" si="16"/>
        <v>109.59960000000001</v>
      </c>
      <c r="G174" s="35">
        <f t="shared" si="16"/>
        <v>104.11962</v>
      </c>
      <c r="H174" s="35">
        <f t="shared" si="16"/>
        <v>98.913638999999989</v>
      </c>
      <c r="I174" s="35">
        <f t="shared" si="16"/>
        <v>93.967957049999981</v>
      </c>
      <c r="J174" s="35">
        <f t="shared" si="16"/>
        <v>89.269559197499973</v>
      </c>
      <c r="K174" s="35">
        <f t="shared" si="16"/>
        <v>84.806081237624966</v>
      </c>
      <c r="L174" s="35">
        <f t="shared" si="16"/>
        <v>80.565777175743719</v>
      </c>
      <c r="M174" s="35">
        <f t="shared" si="16"/>
        <v>76.537488316956527</v>
      </c>
      <c r="N174" s="35">
        <f t="shared" si="15"/>
        <v>72.710613901108701</v>
      </c>
      <c r="O174" s="35">
        <f t="shared" ref="O174:Q178" si="17">N174*0.95</f>
        <v>69.075083206053264</v>
      </c>
      <c r="P174" s="35">
        <f t="shared" si="17"/>
        <v>65.621329045750599</v>
      </c>
      <c r="Q174" s="34">
        <f t="shared" si="17"/>
        <v>62.340262593463066</v>
      </c>
    </row>
    <row r="175" spans="1:17" ht="15">
      <c r="A175" s="80" t="s">
        <v>183</v>
      </c>
      <c r="B175" s="66">
        <v>310</v>
      </c>
      <c r="C175" s="67">
        <v>162</v>
      </c>
      <c r="D175" s="35">
        <f>C175*0.95</f>
        <v>153.9</v>
      </c>
      <c r="E175" s="35">
        <f t="shared" ref="E175:M175" si="18">D175*0.95</f>
        <v>146.20500000000001</v>
      </c>
      <c r="F175" s="35">
        <f t="shared" si="18"/>
        <v>138.89475000000002</v>
      </c>
      <c r="G175" s="35">
        <f t="shared" si="18"/>
        <v>131.95001250000001</v>
      </c>
      <c r="H175" s="35">
        <f t="shared" si="18"/>
        <v>125.352511875</v>
      </c>
      <c r="I175" s="35">
        <f t="shared" si="18"/>
        <v>119.08488628124999</v>
      </c>
      <c r="J175" s="35">
        <f t="shared" si="18"/>
        <v>113.13064196718749</v>
      </c>
      <c r="K175" s="35">
        <f t="shared" si="18"/>
        <v>107.47410986882811</v>
      </c>
      <c r="L175" s="35">
        <f t="shared" si="18"/>
        <v>102.1004043753867</v>
      </c>
      <c r="M175" s="35">
        <f t="shared" si="18"/>
        <v>96.995384156617362</v>
      </c>
      <c r="N175" s="35">
        <f t="shared" si="15"/>
        <v>92.145614948786488</v>
      </c>
      <c r="O175" s="35">
        <f t="shared" si="17"/>
        <v>87.538334201347155</v>
      </c>
      <c r="P175" s="35">
        <f t="shared" si="17"/>
        <v>83.161417491279792</v>
      </c>
      <c r="Q175" s="34">
        <f t="shared" si="17"/>
        <v>79.003346616715802</v>
      </c>
    </row>
    <row r="176" spans="1:17" ht="15">
      <c r="A176" s="80" t="s">
        <v>184</v>
      </c>
      <c r="B176" s="66">
        <v>390</v>
      </c>
      <c r="C176" s="67">
        <v>262</v>
      </c>
      <c r="D176" s="35">
        <f>C176*0.93</f>
        <v>243.66000000000003</v>
      </c>
      <c r="E176" s="35">
        <f t="shared" ref="E176:G178" si="19">D176*0.95</f>
        <v>231.477</v>
      </c>
      <c r="F176" s="35">
        <f t="shared" si="19"/>
        <v>219.90314999999998</v>
      </c>
      <c r="G176" s="35">
        <f t="shared" si="19"/>
        <v>208.90799249999998</v>
      </c>
      <c r="H176" s="35">
        <f>G176*0.9</f>
        <v>188.01719324999999</v>
      </c>
      <c r="I176" s="35">
        <f>H176*0.94</f>
        <v>176.73616165499999</v>
      </c>
      <c r="J176" s="35">
        <f t="shared" ref="J176:M178" si="20">I176*0.95</f>
        <v>167.89935357224999</v>
      </c>
      <c r="K176" s="35">
        <f t="shared" si="20"/>
        <v>159.50438589363748</v>
      </c>
      <c r="L176" s="35">
        <f t="shared" si="20"/>
        <v>151.52916659895558</v>
      </c>
      <c r="M176" s="35">
        <f t="shared" si="20"/>
        <v>143.95270826900779</v>
      </c>
      <c r="N176" s="35">
        <f t="shared" si="15"/>
        <v>136.75507285555739</v>
      </c>
      <c r="O176" s="35">
        <f t="shared" si="17"/>
        <v>129.91731921277952</v>
      </c>
      <c r="P176" s="35">
        <f t="shared" si="17"/>
        <v>123.42145325214054</v>
      </c>
      <c r="Q176" s="34">
        <f t="shared" si="17"/>
        <v>117.25038058953351</v>
      </c>
    </row>
    <row r="177" spans="1:17" ht="15">
      <c r="A177" s="80" t="s">
        <v>185</v>
      </c>
      <c r="B177" s="66">
        <v>110</v>
      </c>
      <c r="C177" s="83">
        <v>72</v>
      </c>
      <c r="D177" s="83">
        <f>C177*0.93</f>
        <v>66.960000000000008</v>
      </c>
      <c r="E177" s="83">
        <f t="shared" si="19"/>
        <v>63.612000000000002</v>
      </c>
      <c r="F177" s="83">
        <f t="shared" si="19"/>
        <v>60.431399999999996</v>
      </c>
      <c r="G177" s="83">
        <f t="shared" si="19"/>
        <v>57.409829999999992</v>
      </c>
      <c r="H177" s="83">
        <f>G177*0.95</f>
        <v>54.539338499999992</v>
      </c>
      <c r="I177" s="83">
        <f>H177*0.95</f>
        <v>51.812371574999993</v>
      </c>
      <c r="J177" s="83">
        <f t="shared" si="20"/>
        <v>49.22175299624999</v>
      </c>
      <c r="K177" s="83">
        <f t="shared" si="20"/>
        <v>46.760665346437484</v>
      </c>
      <c r="L177" s="83">
        <f t="shared" si="20"/>
        <v>44.422632079115608</v>
      </c>
      <c r="M177" s="83">
        <f t="shared" si="20"/>
        <v>42.201500475159825</v>
      </c>
      <c r="N177" s="83">
        <f t="shared" si="15"/>
        <v>40.091425451401832</v>
      </c>
      <c r="O177" s="83">
        <f t="shared" si="17"/>
        <v>38.086854178831736</v>
      </c>
      <c r="P177" s="83">
        <f t="shared" si="17"/>
        <v>36.182511469890144</v>
      </c>
      <c r="Q177" s="84">
        <f t="shared" si="17"/>
        <v>34.373385896395632</v>
      </c>
    </row>
    <row r="178" spans="1:17" ht="15">
      <c r="A178" s="80" t="s">
        <v>186</v>
      </c>
      <c r="B178" s="66">
        <v>430</v>
      </c>
      <c r="C178" s="68">
        <v>106</v>
      </c>
      <c r="D178" s="69">
        <f>C178*0.97</f>
        <v>102.82</v>
      </c>
      <c r="E178" s="69">
        <f t="shared" si="19"/>
        <v>97.678999999999988</v>
      </c>
      <c r="F178" s="69">
        <f t="shared" si="19"/>
        <v>92.795049999999989</v>
      </c>
      <c r="G178" s="69">
        <f t="shared" si="19"/>
        <v>88.155297499999989</v>
      </c>
      <c r="H178" s="69">
        <f>G178*0.95</f>
        <v>83.747532624999991</v>
      </c>
      <c r="I178" s="69">
        <f>H178*0.95</f>
        <v>79.560155993749987</v>
      </c>
      <c r="J178" s="69">
        <f t="shared" si="20"/>
        <v>75.582148194062484</v>
      </c>
      <c r="K178" s="69">
        <f t="shared" si="20"/>
        <v>71.803040784359354</v>
      </c>
      <c r="L178" s="69">
        <f t="shared" si="20"/>
        <v>68.212888745141385</v>
      </c>
      <c r="M178" s="69">
        <f t="shared" si="20"/>
        <v>64.802244307884308</v>
      </c>
      <c r="N178" s="69">
        <f t="shared" si="15"/>
        <v>61.562132092490089</v>
      </c>
      <c r="O178" s="69">
        <f t="shared" si="17"/>
        <v>58.48402548786558</v>
      </c>
      <c r="P178" s="69">
        <f t="shared" si="17"/>
        <v>55.559824213472297</v>
      </c>
      <c r="Q178" s="70">
        <f t="shared" si="17"/>
        <v>52.781833002798678</v>
      </c>
    </row>
    <row r="180" spans="1:17" ht="13.2">
      <c r="C180" s="35"/>
      <c r="D180" s="35"/>
      <c r="E180" s="35"/>
      <c r="F180" s="35"/>
      <c r="G180" s="35"/>
      <c r="H180" s="35"/>
      <c r="I180" s="35"/>
      <c r="J180" s="35"/>
      <c r="K180" s="35"/>
      <c r="L180" s="35"/>
      <c r="M180" s="35"/>
      <c r="N180" s="35"/>
      <c r="O180" s="35"/>
      <c r="P180" s="35"/>
      <c r="Q180" s="35"/>
    </row>
    <row r="181" spans="1:17" ht="13.2">
      <c r="C181" s="22"/>
      <c r="D181" s="22"/>
      <c r="E181" s="22"/>
      <c r="F181" s="22"/>
      <c r="G181" s="22"/>
      <c r="H181" s="22"/>
      <c r="I181" s="22"/>
      <c r="J181" s="22"/>
      <c r="K181" s="22"/>
      <c r="L181" s="22"/>
      <c r="M181" s="22"/>
      <c r="N181" s="22"/>
      <c r="O181" s="22"/>
      <c r="P181" s="22"/>
      <c r="Q181" s="22"/>
    </row>
    <row r="182" spans="1:17" ht="13.2">
      <c r="A182" s="191"/>
      <c r="B182" s="156"/>
      <c r="C182" s="193" t="s">
        <v>187</v>
      </c>
      <c r="D182" s="141"/>
      <c r="E182" s="141"/>
      <c r="F182" s="141"/>
      <c r="G182" s="141"/>
      <c r="H182" s="141"/>
      <c r="I182" s="141"/>
      <c r="J182" s="141"/>
      <c r="K182" s="141"/>
      <c r="L182" s="141"/>
      <c r="M182" s="141"/>
      <c r="N182" s="141"/>
      <c r="O182" s="141"/>
      <c r="P182" s="141"/>
      <c r="Q182" s="142"/>
    </row>
    <row r="183" spans="1:17" ht="13.2">
      <c r="A183" s="159"/>
      <c r="B183" s="139"/>
      <c r="C183" s="193" t="s">
        <v>128</v>
      </c>
      <c r="D183" s="141"/>
      <c r="E183" s="141"/>
      <c r="F183" s="141"/>
      <c r="G183" s="141"/>
      <c r="H183" s="141"/>
      <c r="I183" s="141"/>
      <c r="J183" s="141"/>
      <c r="K183" s="141"/>
      <c r="L183" s="141"/>
      <c r="M183" s="141"/>
      <c r="N183" s="141"/>
      <c r="O183" s="141"/>
      <c r="P183" s="141"/>
      <c r="Q183" s="142"/>
    </row>
    <row r="184" spans="1:17" ht="15">
      <c r="A184" s="78" t="s">
        <v>181</v>
      </c>
      <c r="B184" s="79" t="s">
        <v>149</v>
      </c>
      <c r="C184" s="59">
        <v>0</v>
      </c>
      <c r="D184" s="59">
        <v>1</v>
      </c>
      <c r="E184" s="59">
        <v>2</v>
      </c>
      <c r="F184" s="59">
        <v>3</v>
      </c>
      <c r="G184" s="59">
        <v>4</v>
      </c>
      <c r="H184" s="59">
        <v>5</v>
      </c>
      <c r="I184" s="59">
        <v>6</v>
      </c>
      <c r="J184" s="59">
        <v>7</v>
      </c>
      <c r="K184" s="59">
        <v>8</v>
      </c>
      <c r="L184" s="59">
        <v>9</v>
      </c>
      <c r="M184" s="59">
        <v>10</v>
      </c>
      <c r="N184" s="59">
        <v>11</v>
      </c>
      <c r="O184" s="59">
        <v>12</v>
      </c>
      <c r="P184" s="59">
        <v>13</v>
      </c>
      <c r="Q184" s="59">
        <v>14</v>
      </c>
    </row>
    <row r="185" spans="1:17" ht="15">
      <c r="A185" s="60" t="s">
        <v>131</v>
      </c>
      <c r="B185" s="61">
        <f>SUM(B186:B190)</f>
        <v>1490</v>
      </c>
      <c r="C185" s="81">
        <v>0.57999999999999996</v>
      </c>
      <c r="D185" s="72">
        <v>0.54</v>
      </c>
      <c r="E185" s="72">
        <v>0.5</v>
      </c>
      <c r="F185" s="72">
        <v>0.46</v>
      </c>
      <c r="G185" s="72">
        <v>0.46</v>
      </c>
      <c r="H185" s="72">
        <v>0.43</v>
      </c>
      <c r="I185" s="72">
        <v>0.42</v>
      </c>
      <c r="J185" s="72">
        <v>0.39</v>
      </c>
      <c r="K185" s="72">
        <v>0.35</v>
      </c>
      <c r="L185" s="72">
        <v>0.34</v>
      </c>
      <c r="M185" s="72">
        <v>0.34</v>
      </c>
      <c r="N185" s="72">
        <v>0.32</v>
      </c>
      <c r="O185" s="72">
        <v>0.28999999999999998</v>
      </c>
      <c r="P185" s="72">
        <v>0.26</v>
      </c>
      <c r="Q185" s="73">
        <v>0.26</v>
      </c>
    </row>
    <row r="186" spans="1:17" ht="15">
      <c r="A186" s="80" t="s">
        <v>182</v>
      </c>
      <c r="B186" s="66">
        <v>250</v>
      </c>
      <c r="C186" s="74">
        <v>0.53</v>
      </c>
      <c r="D186" s="75">
        <v>0.49</v>
      </c>
      <c r="E186" s="75">
        <v>0.46</v>
      </c>
      <c r="F186" s="75">
        <v>0.44</v>
      </c>
      <c r="G186" s="75">
        <v>0.42</v>
      </c>
      <c r="H186" s="75">
        <v>0.4</v>
      </c>
      <c r="I186" s="75">
        <v>0.38</v>
      </c>
      <c r="J186" s="75">
        <v>0.36</v>
      </c>
      <c r="K186" s="75">
        <v>0.34</v>
      </c>
      <c r="L186" s="75">
        <v>0.32</v>
      </c>
      <c r="M186" s="75">
        <v>0.31</v>
      </c>
      <c r="N186" s="75">
        <v>0.28999999999999998</v>
      </c>
      <c r="O186" s="75">
        <v>0.28000000000000003</v>
      </c>
      <c r="P186" s="75">
        <v>0.26</v>
      </c>
      <c r="Q186" s="76">
        <v>0.25</v>
      </c>
    </row>
    <row r="187" spans="1:17" ht="15">
      <c r="A187" s="80" t="s">
        <v>183</v>
      </c>
      <c r="B187" s="66">
        <v>310</v>
      </c>
      <c r="C187" s="74">
        <v>0.52</v>
      </c>
      <c r="D187" s="75">
        <v>0.5</v>
      </c>
      <c r="E187" s="75">
        <v>0.47</v>
      </c>
      <c r="F187" s="75">
        <v>0.45</v>
      </c>
      <c r="G187" s="75">
        <v>0.43</v>
      </c>
      <c r="H187" s="75">
        <v>0.4</v>
      </c>
      <c r="I187" s="75">
        <v>0.38</v>
      </c>
      <c r="J187" s="75">
        <v>0.36</v>
      </c>
      <c r="K187" s="75">
        <v>0.35</v>
      </c>
      <c r="L187" s="75">
        <v>0.33</v>
      </c>
      <c r="M187" s="75">
        <v>0.31</v>
      </c>
      <c r="N187" s="75">
        <v>0.3</v>
      </c>
      <c r="O187" s="75">
        <v>0.28000000000000003</v>
      </c>
      <c r="P187" s="75">
        <v>0.27</v>
      </c>
      <c r="Q187" s="76">
        <v>0.25</v>
      </c>
    </row>
    <row r="188" spans="1:17" ht="15">
      <c r="A188" s="80" t="s">
        <v>184</v>
      </c>
      <c r="B188" s="66">
        <v>390</v>
      </c>
      <c r="C188" s="74">
        <v>0.67</v>
      </c>
      <c r="D188" s="75">
        <v>0.62</v>
      </c>
      <c r="E188" s="75">
        <v>0.59</v>
      </c>
      <c r="F188" s="75">
        <v>0.56000000000000005</v>
      </c>
      <c r="G188" s="75">
        <v>0.54</v>
      </c>
      <c r="H188" s="75">
        <v>0.48</v>
      </c>
      <c r="I188" s="75">
        <v>0.45</v>
      </c>
      <c r="J188" s="75">
        <v>0.43</v>
      </c>
      <c r="K188" s="75">
        <v>0.41</v>
      </c>
      <c r="L188" s="75">
        <v>0.39</v>
      </c>
      <c r="M188" s="75">
        <v>0.37</v>
      </c>
      <c r="N188" s="75">
        <v>0.35</v>
      </c>
      <c r="O188" s="75">
        <v>0.33</v>
      </c>
      <c r="P188" s="75">
        <v>0.32</v>
      </c>
      <c r="Q188" s="76">
        <v>0.3</v>
      </c>
    </row>
    <row r="189" spans="1:17" ht="15">
      <c r="A189" s="80" t="s">
        <v>185</v>
      </c>
      <c r="B189" s="66">
        <v>430</v>
      </c>
      <c r="C189" s="74">
        <v>0.65</v>
      </c>
      <c r="D189" s="75">
        <v>0.61</v>
      </c>
      <c r="E189" s="75">
        <v>0.57999999999999996</v>
      </c>
      <c r="F189" s="75">
        <v>0.55000000000000004</v>
      </c>
      <c r="G189" s="75">
        <v>0.52</v>
      </c>
      <c r="H189" s="75">
        <v>0.5</v>
      </c>
      <c r="I189" s="75">
        <v>0.47</v>
      </c>
      <c r="J189" s="75">
        <v>0.45</v>
      </c>
      <c r="K189" s="75">
        <v>0.43</v>
      </c>
      <c r="L189" s="75">
        <v>0.4</v>
      </c>
      <c r="M189" s="75">
        <v>0.38</v>
      </c>
      <c r="N189" s="75">
        <v>0.36</v>
      </c>
      <c r="O189" s="75">
        <v>0.35</v>
      </c>
      <c r="P189" s="75">
        <v>0.33</v>
      </c>
      <c r="Q189" s="76">
        <v>0.31</v>
      </c>
    </row>
    <row r="190" spans="1:17" ht="15">
      <c r="A190" s="80" t="s">
        <v>186</v>
      </c>
      <c r="B190" s="66">
        <v>110</v>
      </c>
      <c r="C190" s="74">
        <v>0.25</v>
      </c>
      <c r="D190" s="75">
        <v>0.24</v>
      </c>
      <c r="E190" s="75">
        <v>0.23</v>
      </c>
      <c r="F190" s="75">
        <v>0.22</v>
      </c>
      <c r="G190" s="75">
        <v>0.21</v>
      </c>
      <c r="H190" s="75">
        <v>0.19</v>
      </c>
      <c r="I190" s="75">
        <v>0.19</v>
      </c>
      <c r="J190" s="75">
        <v>0.18</v>
      </c>
      <c r="K190" s="75">
        <v>0.17</v>
      </c>
      <c r="L190" s="75">
        <v>0.16</v>
      </c>
      <c r="M190" s="75">
        <v>0.15</v>
      </c>
      <c r="N190" s="75">
        <v>0.14000000000000001</v>
      </c>
      <c r="O190" s="75">
        <v>0.14000000000000001</v>
      </c>
      <c r="P190" s="75">
        <v>0.13</v>
      </c>
      <c r="Q190" s="76">
        <v>0.12</v>
      </c>
    </row>
    <row r="191" spans="1:17" ht="15">
      <c r="A191" s="187" t="s">
        <v>104</v>
      </c>
      <c r="B191" s="139"/>
      <c r="C191" s="82">
        <v>0.53</v>
      </c>
      <c r="D191" s="82">
        <v>0.5</v>
      </c>
      <c r="E191" s="82">
        <v>0.47</v>
      </c>
      <c r="F191" s="82">
        <v>0.45</v>
      </c>
      <c r="G191" s="82">
        <v>0.43</v>
      </c>
      <c r="H191" s="82">
        <v>0.4</v>
      </c>
      <c r="I191" s="82">
        <v>0.38</v>
      </c>
      <c r="J191" s="82">
        <v>0.36</v>
      </c>
      <c r="K191" s="82">
        <v>0.34</v>
      </c>
      <c r="L191" s="82">
        <v>0.32</v>
      </c>
      <c r="M191" s="82">
        <v>0.31</v>
      </c>
      <c r="N191" s="82">
        <v>0.28999999999999998</v>
      </c>
      <c r="O191" s="82">
        <v>0.28000000000000003</v>
      </c>
      <c r="P191" s="82">
        <v>0.26</v>
      </c>
      <c r="Q191" s="82">
        <v>0.25</v>
      </c>
    </row>
    <row r="194" spans="2:17" ht="13.2">
      <c r="B194" s="184"/>
      <c r="C194" s="180"/>
      <c r="D194" s="180"/>
      <c r="E194" s="180"/>
      <c r="F194" s="180"/>
      <c r="G194" s="180"/>
      <c r="H194" s="180"/>
      <c r="I194" s="180"/>
      <c r="J194" s="156"/>
      <c r="L194" s="190" t="s">
        <v>188</v>
      </c>
      <c r="M194" s="156"/>
      <c r="N194" s="151" t="s">
        <v>189</v>
      </c>
      <c r="O194" s="180"/>
      <c r="P194" s="156"/>
    </row>
    <row r="195" spans="2:17" ht="13.2">
      <c r="B195" s="157"/>
      <c r="C195" s="148"/>
      <c r="D195" s="148"/>
      <c r="E195" s="148"/>
      <c r="F195" s="148"/>
      <c r="G195" s="148"/>
      <c r="H195" s="148"/>
      <c r="I195" s="148"/>
      <c r="J195" s="158"/>
      <c r="L195" s="159"/>
      <c r="M195" s="139"/>
      <c r="N195" s="159"/>
      <c r="O195" s="138"/>
      <c r="P195" s="139"/>
    </row>
    <row r="196" spans="2:17" ht="13.2">
      <c r="B196" s="157"/>
      <c r="C196" s="148"/>
      <c r="D196" s="148"/>
      <c r="E196" s="148"/>
      <c r="F196" s="148"/>
      <c r="G196" s="148"/>
      <c r="H196" s="148"/>
      <c r="I196" s="148"/>
      <c r="J196" s="158"/>
      <c r="L196" s="77"/>
      <c r="M196" s="77"/>
    </row>
    <row r="197" spans="2:17" ht="13.2">
      <c r="B197" s="157"/>
      <c r="C197" s="148"/>
      <c r="D197" s="148"/>
      <c r="E197" s="148"/>
      <c r="F197" s="148"/>
      <c r="G197" s="148"/>
      <c r="H197" s="148"/>
      <c r="I197" s="148"/>
      <c r="J197" s="158"/>
      <c r="L197" s="190" t="s">
        <v>190</v>
      </c>
      <c r="M197" s="156"/>
      <c r="N197" s="151" t="s">
        <v>191</v>
      </c>
      <c r="O197" s="180"/>
      <c r="P197" s="156"/>
    </row>
    <row r="198" spans="2:17" ht="13.2">
      <c r="B198" s="157"/>
      <c r="C198" s="148"/>
      <c r="D198" s="148"/>
      <c r="E198" s="148"/>
      <c r="F198" s="148"/>
      <c r="G198" s="148"/>
      <c r="H198" s="148"/>
      <c r="I198" s="148"/>
      <c r="J198" s="158"/>
      <c r="L198" s="159"/>
      <c r="M198" s="139"/>
      <c r="N198" s="159"/>
      <c r="O198" s="138"/>
      <c r="P198" s="139"/>
    </row>
    <row r="199" spans="2:17" ht="13.2">
      <c r="B199" s="157"/>
      <c r="C199" s="148"/>
      <c r="D199" s="148"/>
      <c r="E199" s="148"/>
      <c r="F199" s="148"/>
      <c r="G199" s="148"/>
      <c r="H199" s="148"/>
      <c r="I199" s="148"/>
      <c r="J199" s="158"/>
      <c r="L199" s="77"/>
      <c r="M199" s="77"/>
    </row>
    <row r="200" spans="2:17" ht="13.2">
      <c r="B200" s="157"/>
      <c r="C200" s="148"/>
      <c r="D200" s="148"/>
      <c r="E200" s="148"/>
      <c r="F200" s="148"/>
      <c r="G200" s="148"/>
      <c r="H200" s="148"/>
      <c r="I200" s="148"/>
      <c r="J200" s="158"/>
      <c r="L200" s="190" t="s">
        <v>145</v>
      </c>
      <c r="M200" s="156"/>
      <c r="N200" s="164" t="s">
        <v>192</v>
      </c>
      <c r="O200" s="180"/>
      <c r="P200" s="180"/>
      <c r="Q200" s="156"/>
    </row>
    <row r="201" spans="2:17" ht="13.2">
      <c r="B201" s="157"/>
      <c r="C201" s="148"/>
      <c r="D201" s="148"/>
      <c r="E201" s="148"/>
      <c r="F201" s="148"/>
      <c r="G201" s="148"/>
      <c r="H201" s="148"/>
      <c r="I201" s="148"/>
      <c r="J201" s="158"/>
      <c r="L201" s="157"/>
      <c r="M201" s="158"/>
      <c r="N201" s="157"/>
      <c r="O201" s="148"/>
      <c r="P201" s="148"/>
      <c r="Q201" s="158"/>
    </row>
    <row r="202" spans="2:17" ht="13.2">
      <c r="B202" s="157"/>
      <c r="C202" s="148"/>
      <c r="D202" s="148"/>
      <c r="E202" s="148"/>
      <c r="F202" s="148"/>
      <c r="G202" s="148"/>
      <c r="H202" s="148"/>
      <c r="I202" s="148"/>
      <c r="J202" s="158"/>
      <c r="L202" s="157"/>
      <c r="M202" s="158"/>
      <c r="N202" s="157"/>
      <c r="O202" s="148"/>
      <c r="P202" s="148"/>
      <c r="Q202" s="158"/>
    </row>
    <row r="203" spans="2:17" ht="13.2">
      <c r="B203" s="157"/>
      <c r="C203" s="148"/>
      <c r="D203" s="148"/>
      <c r="E203" s="148"/>
      <c r="F203" s="148"/>
      <c r="G203" s="148"/>
      <c r="H203" s="148"/>
      <c r="I203" s="148"/>
      <c r="J203" s="158"/>
      <c r="L203" s="157"/>
      <c r="M203" s="158"/>
      <c r="N203" s="157"/>
      <c r="O203" s="148"/>
      <c r="P203" s="148"/>
      <c r="Q203" s="158"/>
    </row>
    <row r="204" spans="2:17" ht="13.2">
      <c r="B204" s="157"/>
      <c r="C204" s="148"/>
      <c r="D204" s="148"/>
      <c r="E204" s="148"/>
      <c r="F204" s="148"/>
      <c r="G204" s="148"/>
      <c r="H204" s="148"/>
      <c r="I204" s="148"/>
      <c r="J204" s="158"/>
      <c r="L204" s="157"/>
      <c r="M204" s="158"/>
      <c r="N204" s="157"/>
      <c r="O204" s="148"/>
      <c r="P204" s="148"/>
      <c r="Q204" s="158"/>
    </row>
    <row r="205" spans="2:17" ht="13.2">
      <c r="B205" s="157"/>
      <c r="C205" s="148"/>
      <c r="D205" s="148"/>
      <c r="E205" s="148"/>
      <c r="F205" s="148"/>
      <c r="G205" s="148"/>
      <c r="H205" s="148"/>
      <c r="I205" s="148"/>
      <c r="J205" s="158"/>
      <c r="L205" s="159"/>
      <c r="M205" s="139"/>
      <c r="N205" s="159"/>
      <c r="O205" s="138"/>
      <c r="P205" s="138"/>
      <c r="Q205" s="139"/>
    </row>
    <row r="206" spans="2:17" ht="13.2">
      <c r="B206" s="157"/>
      <c r="C206" s="148"/>
      <c r="D206" s="148"/>
      <c r="E206" s="148"/>
      <c r="F206" s="148"/>
      <c r="G206" s="148"/>
      <c r="H206" s="148"/>
      <c r="I206" s="148"/>
      <c r="J206" s="158"/>
    </row>
    <row r="207" spans="2:17" ht="13.2">
      <c r="B207" s="157"/>
      <c r="C207" s="148"/>
      <c r="D207" s="148"/>
      <c r="E207" s="148"/>
      <c r="F207" s="148"/>
      <c r="G207" s="148"/>
      <c r="H207" s="148"/>
      <c r="I207" s="148"/>
      <c r="J207" s="158"/>
    </row>
    <row r="208" spans="2:17" ht="13.2">
      <c r="B208" s="157"/>
      <c r="C208" s="148"/>
      <c r="D208" s="148"/>
      <c r="E208" s="148"/>
      <c r="F208" s="148"/>
      <c r="G208" s="148"/>
      <c r="H208" s="148"/>
      <c r="I208" s="148"/>
      <c r="J208" s="158"/>
    </row>
    <row r="209" spans="2:10" ht="13.2">
      <c r="B209" s="157"/>
      <c r="C209" s="148"/>
      <c r="D209" s="148"/>
      <c r="E209" s="148"/>
      <c r="F209" s="148"/>
      <c r="G209" s="148"/>
      <c r="H209" s="148"/>
      <c r="I209" s="148"/>
      <c r="J209" s="158"/>
    </row>
    <row r="210" spans="2:10" ht="13.2">
      <c r="B210" s="157"/>
      <c r="C210" s="148"/>
      <c r="D210" s="148"/>
      <c r="E210" s="148"/>
      <c r="F210" s="148"/>
      <c r="G210" s="148"/>
      <c r="H210" s="148"/>
      <c r="I210" s="148"/>
      <c r="J210" s="158"/>
    </row>
    <row r="211" spans="2:10" ht="13.2">
      <c r="B211" s="157"/>
      <c r="C211" s="148"/>
      <c r="D211" s="148"/>
      <c r="E211" s="148"/>
      <c r="F211" s="148"/>
      <c r="G211" s="148"/>
      <c r="H211" s="148"/>
      <c r="I211" s="148"/>
      <c r="J211" s="158"/>
    </row>
    <row r="212" spans="2:10" ht="13.2">
      <c r="B212" s="157"/>
      <c r="C212" s="148"/>
      <c r="D212" s="148"/>
      <c r="E212" s="148"/>
      <c r="F212" s="148"/>
      <c r="G212" s="148"/>
      <c r="H212" s="148"/>
      <c r="I212" s="148"/>
      <c r="J212" s="158"/>
    </row>
    <row r="213" spans="2:10" ht="13.2">
      <c r="B213" s="157"/>
      <c r="C213" s="148"/>
      <c r="D213" s="148"/>
      <c r="E213" s="148"/>
      <c r="F213" s="148"/>
      <c r="G213" s="148"/>
      <c r="H213" s="148"/>
      <c r="I213" s="148"/>
      <c r="J213" s="158"/>
    </row>
    <row r="214" spans="2:10" ht="13.2">
      <c r="B214" s="159"/>
      <c r="C214" s="138"/>
      <c r="D214" s="138"/>
      <c r="E214" s="138"/>
      <c r="F214" s="138"/>
      <c r="G214" s="138"/>
      <c r="H214" s="138"/>
      <c r="I214" s="138"/>
      <c r="J214" s="139"/>
    </row>
  </sheetData>
  <mergeCells count="65">
    <mergeCell ref="A3:M3"/>
    <mergeCell ref="N147:P148"/>
    <mergeCell ref="A80:B81"/>
    <mergeCell ref="A2:M2"/>
    <mergeCell ref="A65:B66"/>
    <mergeCell ref="N194:P195"/>
    <mergeCell ref="C170:Q170"/>
    <mergeCell ref="N200:Q205"/>
    <mergeCell ref="A182:B183"/>
    <mergeCell ref="C26:Q26"/>
    <mergeCell ref="A118:B119"/>
    <mergeCell ref="A132:B133"/>
    <mergeCell ref="N48:Q53"/>
    <mergeCell ref="N42:P43"/>
    <mergeCell ref="L48:M53"/>
    <mergeCell ref="B41:J61"/>
    <mergeCell ref="A38:B38"/>
    <mergeCell ref="L150:M151"/>
    <mergeCell ref="C171:Q171"/>
    <mergeCell ref="A1:Q1"/>
    <mergeCell ref="C12:Q12"/>
    <mergeCell ref="L153:M158"/>
    <mergeCell ref="L200:M205"/>
    <mergeCell ref="N153:Q158"/>
    <mergeCell ref="N45:P46"/>
    <mergeCell ref="L96:M97"/>
    <mergeCell ref="C182:Q182"/>
    <mergeCell ref="B95:J115"/>
    <mergeCell ref="B146:J166"/>
    <mergeCell ref="N150:P151"/>
    <mergeCell ref="L99:M100"/>
    <mergeCell ref="C11:Q11"/>
    <mergeCell ref="N102:Q107"/>
    <mergeCell ref="A9:M9"/>
    <mergeCell ref="C132:Q132"/>
    <mergeCell ref="A4:M4"/>
    <mergeCell ref="C118:Q118"/>
    <mergeCell ref="C133:Q133"/>
    <mergeCell ref="C80:Q80"/>
    <mergeCell ref="N197:P198"/>
    <mergeCell ref="N99:P100"/>
    <mergeCell ref="C27:Q27"/>
    <mergeCell ref="C119:Q119"/>
    <mergeCell ref="L194:M195"/>
    <mergeCell ref="A170:B171"/>
    <mergeCell ref="C81:Q81"/>
    <mergeCell ref="B194:J214"/>
    <mergeCell ref="A6:M6"/>
    <mergeCell ref="C66:Q66"/>
    <mergeCell ref="N96:P97"/>
    <mergeCell ref="A11:B12"/>
    <mergeCell ref="A5:M5"/>
    <mergeCell ref="C65:Q65"/>
    <mergeCell ref="A191:B191"/>
    <mergeCell ref="A8:M8"/>
    <mergeCell ref="C183:Q183"/>
    <mergeCell ref="L45:M46"/>
    <mergeCell ref="L147:M148"/>
    <mergeCell ref="L102:M107"/>
    <mergeCell ref="A7:M7"/>
    <mergeCell ref="A143:B143"/>
    <mergeCell ref="L42:M43"/>
    <mergeCell ref="A92:B92"/>
    <mergeCell ref="L197:M198"/>
    <mergeCell ref="A26:B27"/>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74"/>
  <sheetViews>
    <sheetView showGridLines="0" topLeftCell="A46" workbookViewId="0">
      <selection activeCell="H63" sqref="H63"/>
    </sheetView>
  </sheetViews>
  <sheetFormatPr defaultColWidth="12.6640625" defaultRowHeight="15.75" customHeight="1"/>
  <cols>
    <col min="4" max="4" width="13.109375" customWidth="1"/>
    <col min="5" max="5" width="18.44140625" customWidth="1"/>
    <col min="6" max="6" width="14" customWidth="1"/>
    <col min="7" max="7" width="16.21875" customWidth="1"/>
  </cols>
  <sheetData>
    <row r="1" spans="1:13" ht="15.75" customHeight="1">
      <c r="A1" s="204" t="s">
        <v>14</v>
      </c>
      <c r="B1" s="141"/>
      <c r="C1" s="141"/>
      <c r="D1" s="141"/>
      <c r="E1" s="141"/>
      <c r="F1" s="141"/>
      <c r="G1" s="141"/>
      <c r="H1" s="141"/>
      <c r="I1" s="141"/>
      <c r="J1" s="141"/>
      <c r="K1" s="141"/>
      <c r="L1" s="141"/>
      <c r="M1" s="142"/>
    </row>
    <row r="2" spans="1:13">
      <c r="A2" s="207" t="s">
        <v>193</v>
      </c>
      <c r="B2" s="141"/>
      <c r="C2" s="141"/>
      <c r="D2" s="141"/>
      <c r="E2" s="141"/>
      <c r="F2" s="141"/>
      <c r="G2" s="141"/>
      <c r="H2" s="142"/>
      <c r="K2" s="85"/>
      <c r="L2" s="85"/>
      <c r="M2" s="85"/>
    </row>
    <row r="3" spans="1:13">
      <c r="A3" s="199" t="s">
        <v>194</v>
      </c>
      <c r="B3" s="180"/>
      <c r="C3" s="180"/>
      <c r="D3" s="180"/>
      <c r="E3" s="180"/>
      <c r="F3" s="180"/>
      <c r="G3" s="180"/>
      <c r="H3" s="156"/>
      <c r="K3" s="85"/>
      <c r="L3" s="85"/>
      <c r="M3" s="85"/>
    </row>
    <row r="4" spans="1:13">
      <c r="A4" s="202" t="s">
        <v>20</v>
      </c>
      <c r="B4" s="180"/>
      <c r="C4" s="180"/>
      <c r="D4" s="180"/>
      <c r="E4" s="180"/>
      <c r="F4" s="180"/>
      <c r="G4" s="180"/>
      <c r="H4" s="156"/>
      <c r="K4" s="85"/>
      <c r="L4" s="85"/>
      <c r="M4" s="85"/>
    </row>
    <row r="5" spans="1:13">
      <c r="A5" s="205" t="s">
        <v>195</v>
      </c>
      <c r="B5" s="148"/>
      <c r="C5" s="148"/>
      <c r="D5" s="148"/>
      <c r="E5" s="148"/>
      <c r="F5" s="148"/>
      <c r="G5" s="148"/>
      <c r="H5" s="158"/>
      <c r="K5" s="85"/>
      <c r="L5" s="85"/>
      <c r="M5" s="85"/>
    </row>
    <row r="6" spans="1:13">
      <c r="A6" s="205" t="s">
        <v>196</v>
      </c>
      <c r="B6" s="148"/>
      <c r="C6" s="148"/>
      <c r="D6" s="148"/>
      <c r="E6" s="148"/>
      <c r="F6" s="148"/>
      <c r="G6" s="148"/>
      <c r="H6" s="158"/>
      <c r="K6" s="85"/>
      <c r="L6" s="85"/>
      <c r="M6" s="85"/>
    </row>
    <row r="7" spans="1:13">
      <c r="A7" s="205" t="s">
        <v>197</v>
      </c>
      <c r="B7" s="148"/>
      <c r="C7" s="148"/>
      <c r="D7" s="148"/>
      <c r="E7" s="148"/>
      <c r="F7" s="148"/>
      <c r="G7" s="148"/>
      <c r="H7" s="158"/>
      <c r="K7" s="85"/>
      <c r="L7" s="85"/>
      <c r="M7" s="85"/>
    </row>
    <row r="8" spans="1:13">
      <c r="A8" s="205" t="s">
        <v>198</v>
      </c>
      <c r="B8" s="148"/>
      <c r="C8" s="148"/>
      <c r="D8" s="148"/>
      <c r="E8" s="148"/>
      <c r="F8" s="148"/>
      <c r="G8" s="148"/>
      <c r="H8" s="158"/>
      <c r="K8" s="85"/>
      <c r="L8" s="85"/>
      <c r="M8" s="85"/>
    </row>
    <row r="9" spans="1:13">
      <c r="A9" s="201" t="s">
        <v>199</v>
      </c>
      <c r="B9" s="138"/>
      <c r="C9" s="138"/>
      <c r="D9" s="138"/>
      <c r="E9" s="138"/>
      <c r="F9" s="138"/>
      <c r="G9" s="138"/>
      <c r="H9" s="139"/>
      <c r="K9" s="85"/>
      <c r="L9" s="85"/>
      <c r="M9" s="85"/>
    </row>
    <row r="10" spans="1:13">
      <c r="A10" s="208" t="s">
        <v>126</v>
      </c>
      <c r="B10" s="141"/>
      <c r="C10" s="141"/>
      <c r="D10" s="141"/>
      <c r="E10" s="141"/>
      <c r="F10" s="141"/>
      <c r="G10" s="141"/>
      <c r="H10" s="142"/>
      <c r="I10" s="9"/>
      <c r="J10" s="9"/>
      <c r="K10" s="9"/>
      <c r="L10" s="9"/>
      <c r="M10" s="9"/>
    </row>
    <row r="11" spans="1:13" ht="15.75" customHeight="1">
      <c r="A11" s="206" t="s">
        <v>99</v>
      </c>
      <c r="B11" s="138"/>
      <c r="C11" s="138"/>
      <c r="D11" s="138"/>
      <c r="E11" s="138"/>
      <c r="F11" s="138"/>
      <c r="G11" s="138"/>
      <c r="H11" s="138"/>
      <c r="I11" s="138"/>
      <c r="J11" s="138"/>
      <c r="K11" s="138"/>
      <c r="L11" s="138"/>
      <c r="M11" s="139"/>
    </row>
    <row r="12" spans="1:13">
      <c r="A12" s="86" t="s">
        <v>100</v>
      </c>
      <c r="B12" s="87" t="s">
        <v>200</v>
      </c>
      <c r="C12" s="203" t="s">
        <v>102</v>
      </c>
      <c r="D12" s="141"/>
      <c r="E12" s="141"/>
      <c r="F12" s="141"/>
      <c r="G12" s="141"/>
      <c r="H12" s="141"/>
      <c r="I12" s="141"/>
      <c r="J12" s="141"/>
      <c r="K12" s="141"/>
      <c r="L12" s="141"/>
      <c r="M12" s="142"/>
    </row>
    <row r="13" spans="1:13">
      <c r="A13" s="10"/>
      <c r="B13" s="88"/>
      <c r="C13" s="89">
        <v>0</v>
      </c>
      <c r="D13" s="89">
        <v>1</v>
      </c>
      <c r="E13" s="89">
        <v>2</v>
      </c>
      <c r="F13" s="89">
        <v>3</v>
      </c>
      <c r="G13" s="89">
        <v>4</v>
      </c>
      <c r="H13" s="89">
        <v>5</v>
      </c>
      <c r="I13" s="89">
        <v>6</v>
      </c>
      <c r="J13" s="89">
        <v>7</v>
      </c>
      <c r="K13" s="89">
        <v>8</v>
      </c>
      <c r="L13" s="89">
        <v>9</v>
      </c>
      <c r="M13" s="89">
        <v>10</v>
      </c>
    </row>
    <row r="14" spans="1:13">
      <c r="A14" s="90">
        <v>43617</v>
      </c>
      <c r="B14" s="91">
        <v>240</v>
      </c>
      <c r="C14" s="92">
        <v>237</v>
      </c>
      <c r="D14" s="93">
        <f>224*0.8</f>
        <v>179.20000000000002</v>
      </c>
      <c r="E14" s="93">
        <f>217*0.8</f>
        <v>173.60000000000002</v>
      </c>
      <c r="F14" s="93">
        <f>203*0.8</f>
        <v>162.4</v>
      </c>
      <c r="G14" s="93">
        <f>192*0.8</f>
        <v>153.60000000000002</v>
      </c>
      <c r="H14" s="93">
        <f>179*0.8</f>
        <v>143.20000000000002</v>
      </c>
      <c r="I14" s="93">
        <f>163*0.8</f>
        <v>130.4</v>
      </c>
      <c r="J14" s="93">
        <f>158*0.8</f>
        <v>126.4</v>
      </c>
      <c r="K14" s="93">
        <f>150*0.8</f>
        <v>120</v>
      </c>
      <c r="L14" s="93">
        <f>147*0.8</f>
        <v>117.60000000000001</v>
      </c>
      <c r="M14" s="93">
        <f>143*0.8</f>
        <v>114.4</v>
      </c>
    </row>
    <row r="15" spans="1:13">
      <c r="A15" s="90">
        <v>43623</v>
      </c>
      <c r="B15" s="91">
        <v>324</v>
      </c>
      <c r="C15" s="92">
        <v>307</v>
      </c>
      <c r="D15" s="93">
        <f>283*0.8</f>
        <v>226.4</v>
      </c>
      <c r="E15" s="93">
        <f>268*0.8</f>
        <v>214.4</v>
      </c>
      <c r="F15" s="93">
        <f>242*0.8</f>
        <v>193.60000000000002</v>
      </c>
      <c r="G15" s="93">
        <f>229*0.8</f>
        <v>183.20000000000002</v>
      </c>
      <c r="H15" s="93">
        <f>213*0.8</f>
        <v>170.4</v>
      </c>
      <c r="I15" s="93">
        <f>195*0.8</f>
        <v>156</v>
      </c>
      <c r="J15" s="93">
        <f>190*0.8</f>
        <v>152</v>
      </c>
      <c r="K15" s="93">
        <f>182*0.8</f>
        <v>145.6</v>
      </c>
      <c r="L15" s="93">
        <v>143</v>
      </c>
      <c r="M15" s="94"/>
    </row>
    <row r="16" spans="1:13">
      <c r="A16" s="90">
        <v>43630</v>
      </c>
      <c r="B16" s="91">
        <v>425</v>
      </c>
      <c r="C16" s="92">
        <v>414</v>
      </c>
      <c r="D16" s="93">
        <f>392*0.8</f>
        <v>313.60000000000002</v>
      </c>
      <c r="E16" s="93">
        <f>378*0.8</f>
        <v>302.40000000000003</v>
      </c>
      <c r="F16" s="93">
        <f>353*0.8</f>
        <v>282.40000000000003</v>
      </c>
      <c r="G16" s="93">
        <f>337*0.8</f>
        <v>269.60000000000002</v>
      </c>
      <c r="H16" s="93">
        <f>305*0.8</f>
        <v>244</v>
      </c>
      <c r="I16" s="93">
        <f>293*0.8</f>
        <v>234.4</v>
      </c>
      <c r="J16" s="93">
        <f>285*0.8</f>
        <v>228</v>
      </c>
      <c r="K16" s="93">
        <f>271*0.8</f>
        <v>216.8</v>
      </c>
      <c r="L16" s="94"/>
      <c r="M16" s="94"/>
    </row>
    <row r="17" spans="1:13">
      <c r="A17" s="90">
        <v>43637</v>
      </c>
      <c r="B17" s="91">
        <v>634</v>
      </c>
      <c r="C17" s="92">
        <v>618</v>
      </c>
      <c r="D17" s="93">
        <f>587*0.8</f>
        <v>469.6</v>
      </c>
      <c r="E17" s="93">
        <f>554*0.8</f>
        <v>443.20000000000005</v>
      </c>
      <c r="F17" s="93">
        <f>530*0.8</f>
        <v>424</v>
      </c>
      <c r="G17" s="93">
        <f>507*0.8</f>
        <v>405.6</v>
      </c>
      <c r="H17" s="93">
        <f>482*0.8</f>
        <v>385.6</v>
      </c>
      <c r="I17" s="93">
        <f>458*0.8</f>
        <v>366.40000000000003</v>
      </c>
      <c r="J17" s="93">
        <f>442*0.8</f>
        <v>353.6</v>
      </c>
      <c r="K17" s="94"/>
      <c r="L17" s="94"/>
      <c r="M17" s="94"/>
    </row>
    <row r="18" spans="1:13">
      <c r="A18" s="90">
        <v>43644</v>
      </c>
      <c r="B18" s="91">
        <v>796</v>
      </c>
      <c r="C18" s="92">
        <v>772</v>
      </c>
      <c r="D18" s="93">
        <f>753*0.8</f>
        <v>602.4</v>
      </c>
      <c r="E18" s="93">
        <f>729*0.8</f>
        <v>583.20000000000005</v>
      </c>
      <c r="F18" s="93">
        <f>694*0.8</f>
        <v>555.20000000000005</v>
      </c>
      <c r="G18" s="93">
        <f>649*0.8</f>
        <v>519.20000000000005</v>
      </c>
      <c r="H18" s="93">
        <f>612*0.8</f>
        <v>489.6</v>
      </c>
      <c r="I18" s="93">
        <f>586*0.8</f>
        <v>468.8</v>
      </c>
      <c r="J18" s="95"/>
      <c r="K18" s="95"/>
      <c r="L18" s="95"/>
      <c r="M18" s="95"/>
    </row>
    <row r="19" spans="1:13">
      <c r="A19" s="90">
        <v>43651</v>
      </c>
      <c r="B19" s="91">
        <v>918</v>
      </c>
      <c r="C19" s="92">
        <v>885</v>
      </c>
      <c r="D19" s="93">
        <f>840*0.8</f>
        <v>672</v>
      </c>
      <c r="E19" s="93">
        <f>803*0.8</f>
        <v>642.40000000000009</v>
      </c>
      <c r="F19" s="93">
        <f>773*0.8</f>
        <v>618.40000000000009</v>
      </c>
      <c r="G19" s="93">
        <f>748*0.8</f>
        <v>598.4</v>
      </c>
      <c r="H19" s="93">
        <f>704*0.8</f>
        <v>563.20000000000005</v>
      </c>
      <c r="I19" s="95"/>
      <c r="J19" s="95"/>
      <c r="K19" s="95"/>
      <c r="L19" s="95"/>
      <c r="M19" s="95"/>
    </row>
    <row r="20" spans="1:13">
      <c r="A20" s="90">
        <v>43658</v>
      </c>
      <c r="B20" s="91">
        <v>1129</v>
      </c>
      <c r="C20" s="92">
        <v>1084</v>
      </c>
      <c r="D20" s="93">
        <f>1030*0.8</f>
        <v>824</v>
      </c>
      <c r="E20" s="93">
        <f>974*0.8</f>
        <v>779.2</v>
      </c>
      <c r="F20" s="93">
        <f>928*0.8</f>
        <v>742.40000000000009</v>
      </c>
      <c r="G20" s="93">
        <f>894*0.8</f>
        <v>715.2</v>
      </c>
      <c r="H20" s="95"/>
      <c r="I20" s="95"/>
      <c r="J20" s="95"/>
      <c r="K20" s="95"/>
      <c r="L20" s="95"/>
      <c r="M20" s="95"/>
    </row>
    <row r="21" spans="1:13">
      <c r="A21" s="90">
        <v>43665</v>
      </c>
      <c r="B21" s="91">
        <v>1298</v>
      </c>
      <c r="C21" s="92">
        <v>1218</v>
      </c>
      <c r="D21" s="93">
        <f>1175*0.8</f>
        <v>940</v>
      </c>
      <c r="E21" s="93">
        <f>1085*0.8</f>
        <v>868</v>
      </c>
      <c r="F21" s="93">
        <f>1005*0.8</f>
        <v>804</v>
      </c>
      <c r="G21" s="95"/>
      <c r="H21" s="95"/>
      <c r="I21" s="95"/>
      <c r="J21" s="95"/>
      <c r="K21" s="95"/>
      <c r="L21" s="95"/>
      <c r="M21" s="95"/>
    </row>
    <row r="22" spans="1:13">
      <c r="A22" s="90">
        <v>43672</v>
      </c>
      <c r="B22" s="91">
        <v>1420</v>
      </c>
      <c r="C22" s="92">
        <v>1350</v>
      </c>
      <c r="D22" s="93">
        <f>1297*0.8</f>
        <v>1037.6000000000001</v>
      </c>
      <c r="E22" s="93">
        <f>1207*0.8</f>
        <v>965.6</v>
      </c>
      <c r="F22" s="95"/>
      <c r="G22" s="95"/>
      <c r="H22" s="95"/>
      <c r="I22" s="95"/>
      <c r="J22" s="95"/>
      <c r="K22" s="95"/>
      <c r="L22" s="95"/>
      <c r="M22" s="95"/>
    </row>
    <row r="23" spans="1:13">
      <c r="A23" s="90">
        <v>43680</v>
      </c>
      <c r="B23" s="91">
        <v>1670</v>
      </c>
      <c r="C23" s="92">
        <v>1587</v>
      </c>
      <c r="D23" s="93">
        <f>1502*0.8</f>
        <v>1201.6000000000001</v>
      </c>
      <c r="E23" s="95"/>
      <c r="F23" s="95"/>
      <c r="G23" s="95"/>
      <c r="H23" s="95"/>
      <c r="I23" s="95"/>
      <c r="J23" s="95"/>
      <c r="K23" s="95"/>
      <c r="L23" s="95"/>
      <c r="M23" s="95"/>
    </row>
    <row r="24" spans="1:13">
      <c r="A24" s="90">
        <v>43687</v>
      </c>
      <c r="B24" s="91">
        <v>1820</v>
      </c>
      <c r="C24" s="92">
        <v>1718</v>
      </c>
      <c r="D24" s="95"/>
      <c r="E24" s="95"/>
      <c r="F24" s="95"/>
      <c r="G24" s="95"/>
      <c r="H24" s="95"/>
      <c r="I24" s="95"/>
      <c r="J24" s="95"/>
      <c r="K24" s="95"/>
      <c r="L24" s="95"/>
      <c r="M24" s="95"/>
    </row>
    <row r="25" spans="1:13">
      <c r="A25" s="96"/>
      <c r="B25" s="92"/>
      <c r="C25" s="95"/>
      <c r="D25" s="95"/>
      <c r="E25" s="95"/>
      <c r="F25" s="95"/>
      <c r="G25" s="95"/>
      <c r="H25" s="95"/>
      <c r="I25" s="95"/>
      <c r="J25" s="95"/>
      <c r="K25" s="95"/>
      <c r="L25" s="95"/>
      <c r="M25" s="95"/>
    </row>
    <row r="26" spans="1:13">
      <c r="A26" s="97"/>
      <c r="B26" s="9"/>
      <c r="C26" s="9"/>
      <c r="D26" s="9"/>
      <c r="E26" s="9"/>
      <c r="F26" s="9"/>
      <c r="G26" s="9"/>
      <c r="H26" s="9"/>
      <c r="I26" s="9"/>
      <c r="J26" s="9"/>
      <c r="K26" s="9"/>
      <c r="L26" s="9"/>
      <c r="M26" s="95"/>
    </row>
    <row r="27" spans="1:13" ht="15.75" customHeight="1">
      <c r="A27" s="206" t="s">
        <v>201</v>
      </c>
      <c r="B27" s="138"/>
      <c r="C27" s="138"/>
      <c r="D27" s="138"/>
      <c r="E27" s="138"/>
      <c r="F27" s="138"/>
      <c r="G27" s="138"/>
      <c r="H27" s="138"/>
      <c r="I27" s="138"/>
      <c r="J27" s="138"/>
      <c r="K27" s="138"/>
      <c r="L27" s="138"/>
      <c r="M27" s="139"/>
    </row>
    <row r="28" spans="1:13">
      <c r="A28" s="86" t="s">
        <v>100</v>
      </c>
      <c r="B28" s="87" t="s">
        <v>200</v>
      </c>
      <c r="C28" s="203" t="s">
        <v>202</v>
      </c>
      <c r="D28" s="141"/>
      <c r="E28" s="141"/>
      <c r="F28" s="141"/>
      <c r="G28" s="141"/>
      <c r="H28" s="141"/>
      <c r="I28" s="141"/>
      <c r="J28" s="141"/>
      <c r="K28" s="141"/>
      <c r="L28" s="141"/>
      <c r="M28" s="142"/>
    </row>
    <row r="29" spans="1:13" ht="13.2">
      <c r="A29" s="98"/>
      <c r="B29" s="99"/>
      <c r="C29" s="100">
        <v>0</v>
      </c>
      <c r="D29" s="100">
        <v>1</v>
      </c>
      <c r="E29" s="100">
        <v>2</v>
      </c>
      <c r="F29" s="100">
        <v>3</v>
      </c>
      <c r="G29" s="100">
        <v>4</v>
      </c>
      <c r="H29" s="100">
        <v>5</v>
      </c>
      <c r="I29" s="100">
        <v>6</v>
      </c>
      <c r="J29" s="100">
        <v>7</v>
      </c>
      <c r="K29" s="100">
        <v>8</v>
      </c>
      <c r="L29" s="100">
        <v>9</v>
      </c>
      <c r="M29" s="92">
        <v>10</v>
      </c>
    </row>
    <row r="30" spans="1:13" ht="13.2">
      <c r="A30" s="101">
        <v>43617</v>
      </c>
      <c r="B30" s="102">
        <v>240</v>
      </c>
      <c r="C30" s="103">
        <f t="shared" ref="C30:M30" si="0">B14-C14</f>
        <v>3</v>
      </c>
      <c r="D30" s="104">
        <f t="shared" si="0"/>
        <v>57.799999999999983</v>
      </c>
      <c r="E30" s="104">
        <f t="shared" si="0"/>
        <v>5.5999999999999943</v>
      </c>
      <c r="F30" s="104">
        <f t="shared" si="0"/>
        <v>11.200000000000017</v>
      </c>
      <c r="G30" s="104">
        <f t="shared" si="0"/>
        <v>8.7999999999999829</v>
      </c>
      <c r="H30" s="104">
        <f t="shared" si="0"/>
        <v>10.400000000000006</v>
      </c>
      <c r="I30" s="104">
        <f t="shared" si="0"/>
        <v>12.800000000000011</v>
      </c>
      <c r="J30" s="104">
        <f t="shared" si="0"/>
        <v>4</v>
      </c>
      <c r="K30" s="104">
        <f t="shared" si="0"/>
        <v>6.4000000000000057</v>
      </c>
      <c r="L30" s="104">
        <f t="shared" si="0"/>
        <v>2.3999999999999915</v>
      </c>
      <c r="M30" s="104">
        <f t="shared" si="0"/>
        <v>3.2000000000000028</v>
      </c>
    </row>
    <row r="31" spans="1:13" ht="13.2">
      <c r="A31" s="90">
        <v>43623</v>
      </c>
      <c r="B31" s="91">
        <v>324</v>
      </c>
      <c r="C31" s="92">
        <f t="shared" ref="C31:L31" si="1">B15-C15</f>
        <v>17</v>
      </c>
      <c r="D31" s="93">
        <f t="shared" si="1"/>
        <v>80.599999999999994</v>
      </c>
      <c r="E31" s="93">
        <f t="shared" si="1"/>
        <v>12</v>
      </c>
      <c r="F31" s="93">
        <f t="shared" si="1"/>
        <v>20.799999999999983</v>
      </c>
      <c r="G31" s="93">
        <f t="shared" si="1"/>
        <v>10.400000000000006</v>
      </c>
      <c r="H31" s="93">
        <f t="shared" si="1"/>
        <v>12.800000000000011</v>
      </c>
      <c r="I31" s="93">
        <f t="shared" si="1"/>
        <v>14.400000000000006</v>
      </c>
      <c r="J31" s="93">
        <f t="shared" si="1"/>
        <v>4</v>
      </c>
      <c r="K31" s="93">
        <f t="shared" si="1"/>
        <v>6.4000000000000057</v>
      </c>
      <c r="L31" s="93">
        <f t="shared" si="1"/>
        <v>2.5999999999999943</v>
      </c>
      <c r="M31" s="95"/>
    </row>
    <row r="32" spans="1:13" ht="13.2">
      <c r="A32" s="90">
        <v>43630</v>
      </c>
      <c r="B32" s="91">
        <v>425</v>
      </c>
      <c r="C32" s="92">
        <f t="shared" ref="C32:K32" si="2">B16-C16</f>
        <v>11</v>
      </c>
      <c r="D32" s="93">
        <f t="shared" si="2"/>
        <v>100.39999999999998</v>
      </c>
      <c r="E32" s="93">
        <f t="shared" si="2"/>
        <v>11.199999999999989</v>
      </c>
      <c r="F32" s="93">
        <f t="shared" si="2"/>
        <v>20</v>
      </c>
      <c r="G32" s="93">
        <f t="shared" si="2"/>
        <v>12.800000000000011</v>
      </c>
      <c r="H32" s="93">
        <f t="shared" si="2"/>
        <v>25.600000000000023</v>
      </c>
      <c r="I32" s="93">
        <f t="shared" si="2"/>
        <v>9.5999999999999943</v>
      </c>
      <c r="J32" s="93">
        <f t="shared" si="2"/>
        <v>6.4000000000000057</v>
      </c>
      <c r="K32" s="93">
        <f t="shared" si="2"/>
        <v>11.199999999999989</v>
      </c>
      <c r="L32" s="95"/>
      <c r="M32" s="95"/>
    </row>
    <row r="33" spans="1:13" ht="13.2">
      <c r="A33" s="90">
        <v>43637</v>
      </c>
      <c r="B33" s="91">
        <v>634</v>
      </c>
      <c r="C33" s="92">
        <f t="shared" ref="C33:J33" si="3">B17-C17</f>
        <v>16</v>
      </c>
      <c r="D33" s="93">
        <f t="shared" si="3"/>
        <v>148.39999999999998</v>
      </c>
      <c r="E33" s="93">
        <f t="shared" si="3"/>
        <v>26.399999999999977</v>
      </c>
      <c r="F33" s="93">
        <f t="shared" si="3"/>
        <v>19.200000000000045</v>
      </c>
      <c r="G33" s="93">
        <f t="shared" si="3"/>
        <v>18.399999999999977</v>
      </c>
      <c r="H33" s="93">
        <f t="shared" si="3"/>
        <v>20</v>
      </c>
      <c r="I33" s="93">
        <f t="shared" si="3"/>
        <v>19.199999999999989</v>
      </c>
      <c r="J33" s="93">
        <f t="shared" si="3"/>
        <v>12.800000000000011</v>
      </c>
      <c r="K33" s="95"/>
      <c r="L33" s="95"/>
      <c r="M33" s="95"/>
    </row>
    <row r="34" spans="1:13" ht="13.2">
      <c r="A34" s="90">
        <v>43644</v>
      </c>
      <c r="B34" s="91">
        <v>796</v>
      </c>
      <c r="C34" s="92">
        <f t="shared" ref="C34:I34" si="4">B18-C18</f>
        <v>24</v>
      </c>
      <c r="D34" s="93">
        <f t="shared" si="4"/>
        <v>169.60000000000002</v>
      </c>
      <c r="E34" s="93">
        <f t="shared" si="4"/>
        <v>19.199999999999932</v>
      </c>
      <c r="F34" s="93">
        <f t="shared" si="4"/>
        <v>28</v>
      </c>
      <c r="G34" s="93">
        <f t="shared" si="4"/>
        <v>36</v>
      </c>
      <c r="H34" s="93">
        <f t="shared" si="4"/>
        <v>29.600000000000023</v>
      </c>
      <c r="I34" s="93">
        <f t="shared" si="4"/>
        <v>20.800000000000011</v>
      </c>
      <c r="J34" s="95"/>
      <c r="K34" s="95"/>
      <c r="L34" s="95"/>
      <c r="M34" s="95"/>
    </row>
    <row r="35" spans="1:13" ht="13.2">
      <c r="A35" s="90">
        <v>43651</v>
      </c>
      <c r="B35" s="91">
        <v>918</v>
      </c>
      <c r="C35" s="92">
        <f t="shared" ref="C35:H35" si="5">B19-C19</f>
        <v>33</v>
      </c>
      <c r="D35" s="93">
        <f t="shared" si="5"/>
        <v>213</v>
      </c>
      <c r="E35" s="93">
        <f t="shared" si="5"/>
        <v>29.599999999999909</v>
      </c>
      <c r="F35" s="93">
        <f t="shared" si="5"/>
        <v>24</v>
      </c>
      <c r="G35" s="93">
        <f t="shared" si="5"/>
        <v>20.000000000000114</v>
      </c>
      <c r="H35" s="93">
        <f t="shared" si="5"/>
        <v>35.199999999999932</v>
      </c>
      <c r="I35" s="95"/>
      <c r="J35" s="95"/>
      <c r="K35" s="95"/>
      <c r="L35" s="95"/>
      <c r="M35" s="95"/>
    </row>
    <row r="36" spans="1:13" ht="13.2">
      <c r="A36" s="90">
        <v>43658</v>
      </c>
      <c r="B36" s="91">
        <v>1129</v>
      </c>
      <c r="C36" s="92">
        <f>B20-C20</f>
        <v>45</v>
      </c>
      <c r="D36" s="93">
        <f>C20-D20</f>
        <v>260</v>
      </c>
      <c r="E36" s="93">
        <f>D20-E20</f>
        <v>44.799999999999955</v>
      </c>
      <c r="F36" s="93">
        <f>E20-F20</f>
        <v>36.799999999999955</v>
      </c>
      <c r="G36" s="93">
        <f>F20-G20</f>
        <v>27.200000000000045</v>
      </c>
      <c r="H36" s="95"/>
      <c r="I36" s="95"/>
      <c r="J36" s="95"/>
      <c r="K36" s="95"/>
      <c r="L36" s="95"/>
      <c r="M36" s="95"/>
    </row>
    <row r="37" spans="1:13" ht="13.2">
      <c r="A37" s="90">
        <v>43665</v>
      </c>
      <c r="B37" s="91">
        <v>1298</v>
      </c>
      <c r="C37" s="92">
        <f>B21-C21</f>
        <v>80</v>
      </c>
      <c r="D37" s="93">
        <f>C21-D21</f>
        <v>278</v>
      </c>
      <c r="E37" s="93">
        <f>D21-E21</f>
        <v>72</v>
      </c>
      <c r="F37" s="93">
        <f>E21-F21</f>
        <v>64</v>
      </c>
      <c r="G37" s="95"/>
      <c r="H37" s="95"/>
      <c r="I37" s="95"/>
      <c r="J37" s="95"/>
      <c r="K37" s="95"/>
      <c r="L37" s="95"/>
      <c r="M37" s="95"/>
    </row>
    <row r="38" spans="1:13" ht="13.2">
      <c r="A38" s="90">
        <v>43672</v>
      </c>
      <c r="B38" s="91">
        <v>1420</v>
      </c>
      <c r="C38" s="92">
        <f>B22-C22</f>
        <v>70</v>
      </c>
      <c r="D38" s="93">
        <f>C22-D22</f>
        <v>312.39999999999986</v>
      </c>
      <c r="E38" s="93">
        <f>D22-E22</f>
        <v>72.000000000000114</v>
      </c>
      <c r="F38" s="95"/>
      <c r="G38" s="95"/>
      <c r="H38" s="95"/>
      <c r="I38" s="95"/>
      <c r="J38" s="95"/>
      <c r="K38" s="95"/>
      <c r="L38" s="95"/>
      <c r="M38" s="95"/>
    </row>
    <row r="39" spans="1:13" ht="13.2">
      <c r="A39" s="90">
        <v>43680</v>
      </c>
      <c r="B39" s="91">
        <v>1670</v>
      </c>
      <c r="C39" s="92">
        <f>B23-C23</f>
        <v>83</v>
      </c>
      <c r="D39" s="93">
        <f>C23-D23</f>
        <v>385.39999999999986</v>
      </c>
      <c r="E39" s="95"/>
      <c r="F39" s="95"/>
      <c r="G39" s="95"/>
      <c r="H39" s="95"/>
      <c r="I39" s="95"/>
      <c r="J39" s="95"/>
      <c r="K39" s="95"/>
      <c r="L39" s="95"/>
      <c r="M39" s="95"/>
    </row>
    <row r="40" spans="1:13" ht="13.2">
      <c r="A40" s="105">
        <v>43687</v>
      </c>
      <c r="B40" s="92">
        <v>1820</v>
      </c>
      <c r="C40" s="92">
        <f>B24-C24</f>
        <v>102</v>
      </c>
      <c r="D40" s="95"/>
      <c r="E40" s="95"/>
      <c r="F40" s="95"/>
      <c r="G40" s="95"/>
      <c r="H40" s="95"/>
      <c r="I40" s="95"/>
      <c r="J40" s="95"/>
      <c r="K40" s="95"/>
      <c r="L40" s="95"/>
      <c r="M40" s="95"/>
    </row>
    <row r="41" spans="1:13" ht="13.2">
      <c r="A41" s="85"/>
      <c r="B41" s="85"/>
      <c r="C41" s="85"/>
      <c r="D41" s="85"/>
      <c r="E41" s="85"/>
      <c r="F41" s="85"/>
      <c r="G41" s="85"/>
      <c r="H41" s="85"/>
      <c r="I41" s="85"/>
      <c r="J41" s="85"/>
      <c r="K41" s="85"/>
      <c r="L41" s="85"/>
      <c r="M41" s="85"/>
    </row>
    <row r="42" spans="1:13" ht="13.2">
      <c r="A42" s="85"/>
      <c r="B42" s="85"/>
      <c r="C42" s="85"/>
      <c r="D42" s="85"/>
      <c r="E42" s="85"/>
      <c r="F42" s="85"/>
      <c r="G42" s="85"/>
      <c r="H42" s="85"/>
      <c r="I42" s="85"/>
      <c r="J42" s="85"/>
      <c r="K42" s="85"/>
      <c r="L42" s="85"/>
      <c r="M42" s="85"/>
    </row>
    <row r="43" spans="1:13" ht="41.4">
      <c r="A43" s="106" t="s">
        <v>100</v>
      </c>
      <c r="B43" s="107" t="s">
        <v>200</v>
      </c>
      <c r="C43" s="107" t="s">
        <v>203</v>
      </c>
      <c r="D43" s="107" t="s">
        <v>204</v>
      </c>
      <c r="E43" s="107" t="s">
        <v>205</v>
      </c>
      <c r="F43" s="107" t="s">
        <v>206</v>
      </c>
      <c r="G43" s="107" t="s">
        <v>207</v>
      </c>
      <c r="H43" s="85"/>
      <c r="I43" s="85"/>
      <c r="J43" s="85"/>
      <c r="K43" s="85"/>
      <c r="L43" s="85"/>
      <c r="M43" s="85"/>
    </row>
    <row r="44" spans="1:13" ht="13.2">
      <c r="A44" s="108">
        <v>43617</v>
      </c>
      <c r="B44" s="89">
        <v>240</v>
      </c>
      <c r="C44" s="109">
        <v>237</v>
      </c>
      <c r="D44" s="109">
        <f>C30</f>
        <v>3</v>
      </c>
      <c r="E44" s="109">
        <v>474</v>
      </c>
      <c r="F44" s="110">
        <f t="shared" ref="F44:F54" si="6">C44*0.97</f>
        <v>229.89</v>
      </c>
      <c r="G44" s="111">
        <v>7</v>
      </c>
      <c r="H44" s="85"/>
      <c r="I44" s="85"/>
      <c r="J44" s="85"/>
      <c r="K44" s="85"/>
      <c r="L44" s="85"/>
      <c r="M44" s="85"/>
    </row>
    <row r="45" spans="1:13" ht="13.2">
      <c r="A45" s="108">
        <v>43623</v>
      </c>
      <c r="B45" s="89">
        <v>324</v>
      </c>
      <c r="C45" s="111">
        <v>486</v>
      </c>
      <c r="D45" s="111">
        <v>75</v>
      </c>
      <c r="E45" s="111">
        <v>735</v>
      </c>
      <c r="F45" s="110">
        <f t="shared" si="6"/>
        <v>471.41999999999996</v>
      </c>
      <c r="G45" s="112">
        <f>C45-F45</f>
        <v>14.580000000000041</v>
      </c>
      <c r="H45" s="85"/>
      <c r="I45" s="85"/>
      <c r="J45" s="85"/>
      <c r="K45" s="85"/>
      <c r="L45" s="85"/>
      <c r="M45" s="85"/>
    </row>
    <row r="46" spans="1:13" ht="13.2">
      <c r="A46" s="108">
        <v>43630</v>
      </c>
      <c r="B46" s="89">
        <v>425</v>
      </c>
      <c r="C46" s="113">
        <v>814</v>
      </c>
      <c r="D46" s="113">
        <v>97</v>
      </c>
      <c r="E46" s="113">
        <v>1142</v>
      </c>
      <c r="F46" s="110">
        <f t="shared" si="6"/>
        <v>789.57999999999993</v>
      </c>
      <c r="G46" s="113">
        <v>24</v>
      </c>
      <c r="H46" s="85"/>
      <c r="I46" s="85"/>
      <c r="J46" s="85"/>
      <c r="K46" s="85"/>
      <c r="L46" s="85"/>
      <c r="M46" s="85"/>
    </row>
    <row r="47" spans="1:13" ht="13.2">
      <c r="A47" s="108">
        <v>43637</v>
      </c>
      <c r="B47" s="89">
        <v>634</v>
      </c>
      <c r="C47" s="113">
        <v>1308</v>
      </c>
      <c r="D47" s="113">
        <v>140</v>
      </c>
      <c r="E47" s="113">
        <v>1802</v>
      </c>
      <c r="F47" s="110">
        <f t="shared" si="6"/>
        <v>1268.76</v>
      </c>
      <c r="G47" s="113">
        <v>39</v>
      </c>
      <c r="H47" s="85"/>
      <c r="I47" s="85"/>
      <c r="J47" s="85"/>
      <c r="K47" s="85"/>
      <c r="L47" s="85"/>
      <c r="M47" s="85"/>
    </row>
    <row r="48" spans="1:13" ht="13.2">
      <c r="A48" s="108">
        <v>43644</v>
      </c>
      <c r="B48" s="89">
        <v>796</v>
      </c>
      <c r="C48" s="113">
        <v>1891</v>
      </c>
      <c r="D48" s="113">
        <v>213</v>
      </c>
      <c r="E48" s="113">
        <v>2474</v>
      </c>
      <c r="F48" s="110">
        <f t="shared" si="6"/>
        <v>1834.27</v>
      </c>
      <c r="G48" s="113">
        <v>57</v>
      </c>
      <c r="H48" s="85"/>
      <c r="I48" s="85"/>
      <c r="J48" s="85"/>
      <c r="K48" s="85"/>
      <c r="L48" s="85"/>
      <c r="M48" s="85"/>
    </row>
    <row r="49" spans="1:13" ht="13.2">
      <c r="A49" s="108">
        <v>43651</v>
      </c>
      <c r="B49" s="89">
        <v>918</v>
      </c>
      <c r="C49" s="113">
        <v>2539</v>
      </c>
      <c r="D49" s="113">
        <v>270</v>
      </c>
      <c r="E49" s="113">
        <v>3187</v>
      </c>
      <c r="F49" s="110">
        <f t="shared" si="6"/>
        <v>2462.83</v>
      </c>
      <c r="G49" s="113">
        <v>76</v>
      </c>
      <c r="H49" s="85"/>
      <c r="I49" s="85"/>
      <c r="J49" s="85"/>
      <c r="K49" s="85"/>
      <c r="L49" s="85"/>
      <c r="M49" s="85"/>
    </row>
    <row r="50" spans="1:13" ht="13.2">
      <c r="A50" s="108">
        <v>43658</v>
      </c>
      <c r="B50" s="89">
        <v>1129</v>
      </c>
      <c r="C50" s="113">
        <v>3334</v>
      </c>
      <c r="D50" s="113">
        <v>335</v>
      </c>
      <c r="E50" s="113">
        <v>4128</v>
      </c>
      <c r="F50" s="110">
        <f t="shared" si="6"/>
        <v>3233.98</v>
      </c>
      <c r="G50" s="113">
        <v>100</v>
      </c>
      <c r="H50" s="85"/>
      <c r="I50" s="85"/>
      <c r="J50" s="85"/>
      <c r="K50" s="85"/>
      <c r="L50" s="85"/>
      <c r="M50" s="85"/>
    </row>
    <row r="51" spans="1:13" ht="13.2">
      <c r="A51" s="108">
        <v>43665</v>
      </c>
      <c r="B51" s="89">
        <v>1298</v>
      </c>
      <c r="C51" s="113">
        <v>4172</v>
      </c>
      <c r="D51" s="113">
        <v>460</v>
      </c>
      <c r="E51" s="113">
        <v>5010</v>
      </c>
      <c r="F51" s="110">
        <f t="shared" si="6"/>
        <v>4046.8399999999997</v>
      </c>
      <c r="G51" s="113">
        <v>125</v>
      </c>
      <c r="H51" s="85"/>
      <c r="I51" s="85"/>
      <c r="J51" s="85"/>
      <c r="K51" s="85"/>
      <c r="L51" s="85"/>
      <c r="M51" s="85"/>
    </row>
    <row r="52" spans="1:13" ht="13.2">
      <c r="A52" s="108">
        <v>43672</v>
      </c>
      <c r="B52" s="89">
        <v>1420</v>
      </c>
      <c r="C52" s="113">
        <v>5099</v>
      </c>
      <c r="D52" s="113">
        <v>493</v>
      </c>
      <c r="E52" s="113">
        <v>6026</v>
      </c>
      <c r="F52" s="110">
        <f t="shared" si="6"/>
        <v>4946.03</v>
      </c>
      <c r="G52" s="113">
        <v>153</v>
      </c>
      <c r="H52" s="85"/>
      <c r="I52" s="85"/>
      <c r="J52" s="85"/>
      <c r="K52" s="85"/>
      <c r="L52" s="85"/>
      <c r="M52" s="85"/>
    </row>
    <row r="53" spans="1:13" ht="13.2">
      <c r="A53" s="108">
        <v>43680</v>
      </c>
      <c r="B53" s="89">
        <v>1670</v>
      </c>
      <c r="C53" s="113">
        <v>6181</v>
      </c>
      <c r="D53" s="113">
        <v>588</v>
      </c>
      <c r="E53" s="113">
        <v>7263</v>
      </c>
      <c r="F53" s="110">
        <f t="shared" si="6"/>
        <v>5995.57</v>
      </c>
      <c r="G53" s="113">
        <v>185</v>
      </c>
      <c r="H53" s="85"/>
      <c r="I53" s="85"/>
      <c r="J53" s="85"/>
      <c r="K53" s="85"/>
      <c r="L53" s="85"/>
      <c r="M53" s="85"/>
    </row>
    <row r="54" spans="1:13" ht="13.2">
      <c r="A54" s="108">
        <v>43687</v>
      </c>
      <c r="B54" s="89">
        <v>1820</v>
      </c>
      <c r="C54" s="113">
        <v>7264</v>
      </c>
      <c r="D54" s="113">
        <v>736</v>
      </c>
      <c r="E54" s="113">
        <v>8348</v>
      </c>
      <c r="F54" s="110">
        <f t="shared" si="6"/>
        <v>7046.08</v>
      </c>
      <c r="G54" s="113">
        <v>218</v>
      </c>
      <c r="H54" s="85"/>
      <c r="I54" s="85"/>
      <c r="J54" s="85"/>
      <c r="K54" s="85"/>
      <c r="L54" s="85"/>
      <c r="M54" s="85"/>
    </row>
    <row r="55" spans="1:13" ht="13.2">
      <c r="A55" s="85"/>
      <c r="B55" s="9"/>
      <c r="C55" s="9"/>
      <c r="D55" s="9"/>
      <c r="E55" s="9"/>
      <c r="F55" s="9"/>
      <c r="G55" s="85"/>
      <c r="H55" s="85"/>
      <c r="I55" s="85"/>
      <c r="J55" s="85"/>
      <c r="K55" s="85"/>
      <c r="L55" s="85"/>
      <c r="M55" s="85"/>
    </row>
    <row r="56" spans="1:13" ht="13.2">
      <c r="A56" s="114"/>
      <c r="B56" s="209" t="s">
        <v>208</v>
      </c>
      <c r="C56" s="180"/>
      <c r="D56" s="180"/>
      <c r="E56" s="180"/>
      <c r="F56" s="156"/>
      <c r="G56" s="85"/>
      <c r="H56" s="85"/>
      <c r="I56" s="85"/>
      <c r="J56" s="85"/>
      <c r="K56" s="85"/>
      <c r="L56" s="85"/>
      <c r="M56" s="85"/>
    </row>
    <row r="57" spans="1:13" ht="13.2">
      <c r="A57" s="114"/>
      <c r="B57" s="157"/>
      <c r="C57" s="148"/>
      <c r="D57" s="148"/>
      <c r="E57" s="148"/>
      <c r="F57" s="158"/>
      <c r="G57" s="85"/>
      <c r="H57" s="85"/>
      <c r="I57" s="85"/>
      <c r="J57" s="85"/>
      <c r="K57" s="85"/>
      <c r="L57" s="85"/>
      <c r="M57" s="85"/>
    </row>
    <row r="58" spans="1:13" ht="13.2">
      <c r="A58" s="114"/>
      <c r="B58" s="157"/>
      <c r="C58" s="148"/>
      <c r="D58" s="148"/>
      <c r="E58" s="148"/>
      <c r="F58" s="158"/>
      <c r="G58" s="85"/>
      <c r="H58" s="85"/>
      <c r="I58" s="85"/>
      <c r="J58" s="85"/>
      <c r="K58" s="85"/>
      <c r="L58" s="85"/>
      <c r="M58" s="85"/>
    </row>
    <row r="59" spans="1:13" ht="13.2">
      <c r="A59" s="114"/>
      <c r="B59" s="157"/>
      <c r="C59" s="148"/>
      <c r="D59" s="148"/>
      <c r="E59" s="148"/>
      <c r="F59" s="158"/>
      <c r="G59" s="85"/>
      <c r="H59" s="85"/>
      <c r="I59" s="85"/>
      <c r="J59" s="85"/>
      <c r="K59" s="85"/>
      <c r="L59" s="85"/>
      <c r="M59" s="85"/>
    </row>
    <row r="60" spans="1:13" ht="13.2">
      <c r="A60" s="114"/>
      <c r="B60" s="157"/>
      <c r="C60" s="148"/>
      <c r="D60" s="148"/>
      <c r="E60" s="148"/>
      <c r="F60" s="158"/>
      <c r="G60" s="85"/>
      <c r="H60" s="85"/>
      <c r="I60" s="85"/>
      <c r="J60" s="85"/>
      <c r="K60" s="85"/>
      <c r="L60" s="85"/>
      <c r="M60" s="85"/>
    </row>
    <row r="61" spans="1:13" ht="13.2">
      <c r="A61" s="114"/>
      <c r="B61" s="157"/>
      <c r="C61" s="148"/>
      <c r="D61" s="148"/>
      <c r="E61" s="148"/>
      <c r="F61" s="158"/>
      <c r="G61" s="85"/>
      <c r="H61" s="85"/>
      <c r="I61" s="85"/>
      <c r="J61" s="85"/>
      <c r="K61" s="85"/>
      <c r="L61" s="85"/>
      <c r="M61" s="85"/>
    </row>
    <row r="62" spans="1:13" ht="13.2">
      <c r="A62" s="114"/>
      <c r="B62" s="157"/>
      <c r="C62" s="148"/>
      <c r="D62" s="148"/>
      <c r="E62" s="148"/>
      <c r="F62" s="158"/>
      <c r="G62" s="85"/>
      <c r="H62" s="85"/>
      <c r="I62" s="85"/>
      <c r="J62" s="85"/>
      <c r="K62" s="85"/>
      <c r="L62" s="85"/>
      <c r="M62" s="85"/>
    </row>
    <row r="63" spans="1:13" ht="13.2">
      <c r="A63" s="114"/>
      <c r="B63" s="157"/>
      <c r="C63" s="148"/>
      <c r="D63" s="148"/>
      <c r="E63" s="148"/>
      <c r="F63" s="158"/>
      <c r="G63" s="85"/>
      <c r="H63" s="85"/>
      <c r="I63" s="85"/>
      <c r="J63" s="85"/>
      <c r="K63" s="85"/>
      <c r="L63" s="85"/>
      <c r="M63" s="85"/>
    </row>
    <row r="64" spans="1:13" ht="13.2">
      <c r="A64" s="114"/>
      <c r="B64" s="157"/>
      <c r="C64" s="148"/>
      <c r="D64" s="148"/>
      <c r="E64" s="148"/>
      <c r="F64" s="158"/>
      <c r="G64" s="85"/>
      <c r="H64" s="85"/>
      <c r="I64" s="85"/>
      <c r="J64" s="85"/>
      <c r="K64" s="85"/>
      <c r="L64" s="85"/>
      <c r="M64" s="85"/>
    </row>
    <row r="65" spans="1:13" ht="13.2">
      <c r="A65" s="114"/>
      <c r="B65" s="157"/>
      <c r="C65" s="148"/>
      <c r="D65" s="148"/>
      <c r="E65" s="148"/>
      <c r="F65" s="158"/>
      <c r="G65" s="85"/>
      <c r="H65" s="85"/>
      <c r="I65" s="85"/>
      <c r="J65" s="85"/>
      <c r="K65" s="85"/>
      <c r="L65" s="85"/>
      <c r="M65" s="85"/>
    </row>
    <row r="66" spans="1:13" ht="13.2">
      <c r="A66" s="114"/>
      <c r="B66" s="157"/>
      <c r="C66" s="148"/>
      <c r="D66" s="148"/>
      <c r="E66" s="148"/>
      <c r="F66" s="158"/>
      <c r="G66" s="85"/>
      <c r="H66" s="85"/>
      <c r="I66" s="85"/>
      <c r="J66" s="85"/>
      <c r="K66" s="85"/>
      <c r="L66" s="85"/>
      <c r="M66" s="85"/>
    </row>
    <row r="67" spans="1:13" ht="13.2">
      <c r="A67" s="114"/>
      <c r="B67" s="157"/>
      <c r="C67" s="148"/>
      <c r="D67" s="148"/>
      <c r="E67" s="148"/>
      <c r="F67" s="158"/>
      <c r="G67" s="85"/>
      <c r="H67" s="85"/>
      <c r="I67" s="85"/>
      <c r="J67" s="85"/>
      <c r="K67" s="85"/>
      <c r="L67" s="85"/>
      <c r="M67" s="85"/>
    </row>
    <row r="68" spans="1:13" ht="13.2">
      <c r="A68" s="114"/>
      <c r="B68" s="157"/>
      <c r="C68" s="148"/>
      <c r="D68" s="148"/>
      <c r="E68" s="148"/>
      <c r="F68" s="158"/>
      <c r="G68" s="85"/>
      <c r="H68" s="85"/>
      <c r="I68" s="85"/>
      <c r="J68" s="85"/>
      <c r="K68" s="85"/>
      <c r="L68" s="85"/>
      <c r="M68" s="85"/>
    </row>
    <row r="69" spans="1:13" ht="13.2">
      <c r="A69" s="114"/>
      <c r="B69" s="157"/>
      <c r="C69" s="148"/>
      <c r="D69" s="148"/>
      <c r="E69" s="148"/>
      <c r="F69" s="158"/>
      <c r="G69" s="85"/>
      <c r="H69" s="85"/>
      <c r="I69" s="85"/>
      <c r="J69" s="85"/>
      <c r="K69" s="85"/>
      <c r="L69" s="85"/>
      <c r="M69" s="85"/>
    </row>
    <row r="70" spans="1:13" ht="13.2">
      <c r="A70" s="114"/>
      <c r="B70" s="157"/>
      <c r="C70" s="148"/>
      <c r="D70" s="148"/>
      <c r="E70" s="148"/>
      <c r="F70" s="158"/>
      <c r="G70" s="85"/>
      <c r="H70" s="85"/>
      <c r="I70" s="85"/>
      <c r="J70" s="85"/>
      <c r="K70" s="85"/>
      <c r="L70" s="85"/>
      <c r="M70" s="85"/>
    </row>
    <row r="71" spans="1:13" ht="13.2">
      <c r="A71" s="114"/>
      <c r="B71" s="157"/>
      <c r="C71" s="148"/>
      <c r="D71" s="148"/>
      <c r="E71" s="148"/>
      <c r="F71" s="158"/>
      <c r="G71" s="85"/>
      <c r="H71" s="85"/>
      <c r="I71" s="85"/>
      <c r="J71" s="85"/>
      <c r="K71" s="85"/>
      <c r="L71" s="85"/>
      <c r="M71" s="85"/>
    </row>
    <row r="72" spans="1:13" ht="13.2">
      <c r="A72" s="114"/>
      <c r="B72" s="157"/>
      <c r="C72" s="148"/>
      <c r="D72" s="148"/>
      <c r="E72" s="148"/>
      <c r="F72" s="158"/>
      <c r="G72" s="85"/>
      <c r="H72" s="85"/>
      <c r="I72" s="85"/>
      <c r="J72" s="85"/>
      <c r="K72" s="85"/>
      <c r="L72" s="85"/>
      <c r="M72" s="85"/>
    </row>
    <row r="73" spans="1:13" ht="13.2">
      <c r="A73" s="114"/>
      <c r="B73" s="157"/>
      <c r="C73" s="148"/>
      <c r="D73" s="148"/>
      <c r="E73" s="148"/>
      <c r="F73" s="158"/>
      <c r="G73" s="85"/>
      <c r="H73" s="85"/>
      <c r="I73" s="85"/>
      <c r="J73" s="85"/>
      <c r="K73" s="85"/>
      <c r="L73" s="85"/>
      <c r="M73" s="85"/>
    </row>
    <row r="74" spans="1:13" ht="13.2">
      <c r="A74" s="114"/>
      <c r="B74" s="159"/>
      <c r="C74" s="138"/>
      <c r="D74" s="138"/>
      <c r="E74" s="138"/>
      <c r="F74" s="139"/>
      <c r="G74" s="85"/>
      <c r="H74" s="85"/>
      <c r="I74" s="85"/>
      <c r="J74" s="85"/>
      <c r="K74" s="85"/>
      <c r="L74" s="85"/>
      <c r="M74" s="85"/>
    </row>
  </sheetData>
  <mergeCells count="15">
    <mergeCell ref="B56:F74"/>
    <mergeCell ref="A5:H5"/>
    <mergeCell ref="A8:H8"/>
    <mergeCell ref="A11:M11"/>
    <mergeCell ref="A6:H6"/>
    <mergeCell ref="A9:H9"/>
    <mergeCell ref="A4:H4"/>
    <mergeCell ref="C28:M28"/>
    <mergeCell ref="A3:H3"/>
    <mergeCell ref="A1:M1"/>
    <mergeCell ref="C12:M12"/>
    <mergeCell ref="A7:H7"/>
    <mergeCell ref="A27:M27"/>
    <mergeCell ref="A2:H2"/>
    <mergeCell ref="A10:H10"/>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34"/>
  <sheetViews>
    <sheetView showGridLines="0" topLeftCell="A17" workbookViewId="0">
      <selection sqref="A1:M1"/>
    </sheetView>
  </sheetViews>
  <sheetFormatPr defaultColWidth="12.6640625" defaultRowHeight="15.75" customHeight="1"/>
  <cols>
    <col min="1" max="1" width="16.21875" customWidth="1"/>
  </cols>
  <sheetData>
    <row r="1" spans="1:13" ht="37.200000000000003">
      <c r="A1" s="212" t="s">
        <v>15</v>
      </c>
      <c r="B1" s="138"/>
      <c r="C1" s="138"/>
      <c r="D1" s="138"/>
      <c r="E1" s="138"/>
      <c r="F1" s="138"/>
      <c r="G1" s="138"/>
      <c r="H1" s="138"/>
      <c r="I1" s="138"/>
      <c r="J1" s="138"/>
      <c r="K1" s="138"/>
      <c r="L1" s="138"/>
      <c r="M1" s="138"/>
    </row>
    <row r="2" spans="1:13" ht="13.2">
      <c r="A2" s="207" t="s">
        <v>209</v>
      </c>
      <c r="B2" s="141"/>
      <c r="C2" s="141"/>
      <c r="D2" s="141"/>
      <c r="E2" s="141"/>
      <c r="F2" s="141"/>
      <c r="G2" s="141"/>
      <c r="H2" s="142"/>
      <c r="K2" s="85"/>
      <c r="L2" s="85"/>
      <c r="M2" s="85"/>
    </row>
    <row r="3" spans="1:13" ht="13.2">
      <c r="A3" s="170" t="s">
        <v>210</v>
      </c>
      <c r="B3" s="141"/>
      <c r="C3" s="141"/>
      <c r="D3" s="141"/>
      <c r="E3" s="141"/>
      <c r="F3" s="141"/>
      <c r="G3" s="141"/>
      <c r="H3" s="142"/>
      <c r="K3" s="85"/>
      <c r="L3" s="85"/>
      <c r="M3" s="85"/>
    </row>
    <row r="4" spans="1:13" ht="13.2">
      <c r="A4" s="170" t="s">
        <v>211</v>
      </c>
      <c r="B4" s="141"/>
      <c r="C4" s="141"/>
      <c r="D4" s="141"/>
      <c r="E4" s="141"/>
      <c r="F4" s="141"/>
      <c r="G4" s="141"/>
      <c r="H4" s="142"/>
      <c r="K4" s="85"/>
      <c r="L4" s="85"/>
      <c r="M4" s="85"/>
    </row>
    <row r="5" spans="1:13" ht="13.2">
      <c r="A5" s="170" t="s">
        <v>212</v>
      </c>
      <c r="B5" s="141"/>
      <c r="C5" s="141"/>
      <c r="D5" s="141"/>
      <c r="E5" s="141"/>
      <c r="F5" s="141"/>
      <c r="G5" s="141"/>
      <c r="H5" s="142"/>
      <c r="K5" s="85"/>
      <c r="L5" s="85"/>
      <c r="M5" s="85"/>
    </row>
    <row r="6" spans="1:13" ht="13.2">
      <c r="A6" s="215" t="s">
        <v>213</v>
      </c>
      <c r="B6" s="180"/>
      <c r="C6" s="180"/>
      <c r="D6" s="180"/>
      <c r="E6" s="180"/>
      <c r="F6" s="180"/>
      <c r="G6" s="180"/>
      <c r="H6" s="156"/>
      <c r="K6" s="85"/>
      <c r="L6" s="85"/>
      <c r="M6" s="85"/>
    </row>
    <row r="7" spans="1:13" ht="13.2">
      <c r="A7" s="202" t="s">
        <v>107</v>
      </c>
      <c r="B7" s="180"/>
      <c r="C7" s="180"/>
      <c r="D7" s="180"/>
      <c r="E7" s="180"/>
      <c r="F7" s="180"/>
      <c r="G7" s="180"/>
      <c r="H7" s="156"/>
      <c r="K7" s="85"/>
      <c r="L7" s="85"/>
      <c r="M7" s="85"/>
    </row>
    <row r="8" spans="1:13" ht="13.2">
      <c r="A8" s="210" t="s">
        <v>214</v>
      </c>
      <c r="B8" s="148"/>
      <c r="C8" s="148"/>
      <c r="D8" s="148"/>
      <c r="E8" s="148"/>
      <c r="F8" s="148"/>
      <c r="G8" s="148"/>
      <c r="H8" s="158"/>
      <c r="K8" s="85"/>
      <c r="L8" s="85"/>
      <c r="M8" s="85"/>
    </row>
    <row r="9" spans="1:13" ht="13.2">
      <c r="A9" s="210" t="s">
        <v>215</v>
      </c>
      <c r="B9" s="148"/>
      <c r="C9" s="148"/>
      <c r="D9" s="148"/>
      <c r="E9" s="148"/>
      <c r="F9" s="148"/>
      <c r="G9" s="148"/>
      <c r="H9" s="158"/>
      <c r="K9" s="85"/>
      <c r="L9" s="85"/>
      <c r="M9" s="85"/>
    </row>
    <row r="10" spans="1:13" ht="13.2">
      <c r="A10" s="210" t="s">
        <v>216</v>
      </c>
      <c r="B10" s="148"/>
      <c r="C10" s="148"/>
      <c r="D10" s="148"/>
      <c r="E10" s="148"/>
      <c r="F10" s="148"/>
      <c r="G10" s="148"/>
      <c r="H10" s="158"/>
      <c r="K10" s="85"/>
      <c r="L10" s="85"/>
      <c r="M10" s="85"/>
    </row>
    <row r="11" spans="1:13" ht="13.2">
      <c r="A11" s="214" t="s">
        <v>217</v>
      </c>
      <c r="B11" s="138"/>
      <c r="C11" s="138"/>
      <c r="D11" s="138"/>
      <c r="E11" s="138"/>
      <c r="F11" s="138"/>
      <c r="G11" s="138"/>
      <c r="H11" s="139"/>
      <c r="K11" s="85"/>
      <c r="L11" s="85"/>
      <c r="M11" s="85"/>
    </row>
    <row r="12" spans="1:13" ht="13.2">
      <c r="A12" s="208" t="s">
        <v>126</v>
      </c>
      <c r="B12" s="141"/>
      <c r="C12" s="141"/>
      <c r="D12" s="141"/>
      <c r="E12" s="141"/>
      <c r="F12" s="141"/>
      <c r="G12" s="141"/>
      <c r="H12" s="142"/>
      <c r="I12" s="9"/>
      <c r="J12" s="9"/>
      <c r="K12" s="9"/>
      <c r="L12" s="9"/>
      <c r="M12" s="9"/>
    </row>
    <row r="13" spans="1:13" ht="13.2">
      <c r="A13" s="115" t="s">
        <v>218</v>
      </c>
      <c r="B13" s="92" t="s">
        <v>219</v>
      </c>
      <c r="C13" s="92" t="s">
        <v>220</v>
      </c>
      <c r="D13" s="92" t="s">
        <v>221</v>
      </c>
      <c r="E13" s="92" t="s">
        <v>222</v>
      </c>
      <c r="F13" s="92" t="s">
        <v>223</v>
      </c>
      <c r="G13" s="92" t="s">
        <v>224</v>
      </c>
      <c r="H13" s="92" t="s">
        <v>225</v>
      </c>
      <c r="I13" s="92" t="s">
        <v>226</v>
      </c>
      <c r="J13" s="92" t="s">
        <v>227</v>
      </c>
      <c r="K13" s="92" t="s">
        <v>228</v>
      </c>
      <c r="L13" s="92" t="s">
        <v>229</v>
      </c>
      <c r="M13" s="92" t="s">
        <v>230</v>
      </c>
    </row>
    <row r="14" spans="1:13" ht="13.2">
      <c r="A14" s="116" t="s">
        <v>231</v>
      </c>
      <c r="B14" s="93">
        <v>97</v>
      </c>
      <c r="C14" s="93">
        <f>B14*1.21</f>
        <v>117.36999999999999</v>
      </c>
      <c r="D14" s="93">
        <f>C14*1.27</f>
        <v>149.0599</v>
      </c>
      <c r="E14" s="93">
        <f>D14*1.22</f>
        <v>181.85307799999998</v>
      </c>
      <c r="F14" s="93">
        <f>E14*1.26</f>
        <v>229.13487827999998</v>
      </c>
      <c r="G14" s="93">
        <f>F14*1.23</f>
        <v>281.8359002844</v>
      </c>
      <c r="H14" s="93">
        <f>G14*1.18</f>
        <v>332.56636233559198</v>
      </c>
      <c r="I14" s="93">
        <f>H14*1.18</f>
        <v>392.42830755599851</v>
      </c>
      <c r="J14" s="93">
        <f>I14*1.28</f>
        <v>502.30823367167812</v>
      </c>
      <c r="K14" s="93">
        <f>J14*1.29</f>
        <v>647.9776214364648</v>
      </c>
      <c r="L14" s="93">
        <f>K14*1.19</f>
        <v>771.09336950939303</v>
      </c>
      <c r="M14" s="93">
        <f>L14*1.25</f>
        <v>963.86671188674131</v>
      </c>
    </row>
    <row r="15" spans="1:13" ht="26.4">
      <c r="A15" s="117" t="s">
        <v>232</v>
      </c>
      <c r="B15" s="92">
        <v>1523</v>
      </c>
      <c r="C15" s="93">
        <f t="shared" ref="C15:L15" si="0">B15*1.25</f>
        <v>1903.75</v>
      </c>
      <c r="D15" s="93">
        <f t="shared" si="0"/>
        <v>2379.6875</v>
      </c>
      <c r="E15" s="93">
        <f t="shared" si="0"/>
        <v>2974.609375</v>
      </c>
      <c r="F15" s="93">
        <f t="shared" si="0"/>
        <v>3718.26171875</v>
      </c>
      <c r="G15" s="93">
        <f t="shared" si="0"/>
        <v>4647.8271484375</v>
      </c>
      <c r="H15" s="93">
        <f t="shared" si="0"/>
        <v>5809.783935546875</v>
      </c>
      <c r="I15" s="93">
        <f t="shared" si="0"/>
        <v>7262.2299194335938</v>
      </c>
      <c r="J15" s="93">
        <f t="shared" si="0"/>
        <v>9077.7873992919922</v>
      </c>
      <c r="K15" s="93">
        <f t="shared" si="0"/>
        <v>11347.23424911499</v>
      </c>
      <c r="L15" s="93">
        <f t="shared" si="0"/>
        <v>14184.042811393738</v>
      </c>
      <c r="M15" s="93">
        <f>L15*1.25</f>
        <v>17730.053514242172</v>
      </c>
    </row>
    <row r="16" spans="1:13" ht="26.4">
      <c r="A16" s="117" t="s">
        <v>233</v>
      </c>
      <c r="B16" s="93">
        <f t="shared" ref="B16:M16" si="1">B15-B14</f>
        <v>1426</v>
      </c>
      <c r="C16" s="93">
        <f t="shared" si="1"/>
        <v>1786.38</v>
      </c>
      <c r="D16" s="93">
        <f t="shared" si="1"/>
        <v>2230.6275999999998</v>
      </c>
      <c r="E16" s="93">
        <f t="shared" si="1"/>
        <v>2792.7562969999999</v>
      </c>
      <c r="F16" s="93">
        <f t="shared" si="1"/>
        <v>3489.1268404699999</v>
      </c>
      <c r="G16" s="93">
        <f t="shared" si="1"/>
        <v>4365.9912481531001</v>
      </c>
      <c r="H16" s="93">
        <f t="shared" si="1"/>
        <v>5477.2175732112828</v>
      </c>
      <c r="I16" s="93">
        <f t="shared" si="1"/>
        <v>6869.801611877595</v>
      </c>
      <c r="J16" s="93">
        <f t="shared" si="1"/>
        <v>8575.4791656203142</v>
      </c>
      <c r="K16" s="93">
        <f t="shared" si="1"/>
        <v>10699.256627678526</v>
      </c>
      <c r="L16" s="93">
        <f t="shared" si="1"/>
        <v>13412.949441884344</v>
      </c>
      <c r="M16" s="93">
        <f t="shared" si="1"/>
        <v>16766.186802355431</v>
      </c>
    </row>
    <row r="17" spans="1:13" ht="39.6">
      <c r="A17" s="117" t="s">
        <v>234</v>
      </c>
      <c r="B17" s="118">
        <v>83</v>
      </c>
      <c r="C17" s="118">
        <f t="shared" ref="C17:M17" si="2">B17*1.13</f>
        <v>93.789999999999992</v>
      </c>
      <c r="D17" s="118">
        <f t="shared" si="2"/>
        <v>105.98269999999998</v>
      </c>
      <c r="E17" s="118">
        <f t="shared" si="2"/>
        <v>119.76045099999996</v>
      </c>
      <c r="F17" s="118">
        <f t="shared" si="2"/>
        <v>135.32930962999995</v>
      </c>
      <c r="G17" s="118">
        <f t="shared" si="2"/>
        <v>152.92211988189993</v>
      </c>
      <c r="H17" s="118">
        <f t="shared" si="2"/>
        <v>172.80199546654691</v>
      </c>
      <c r="I17" s="118">
        <f t="shared" si="2"/>
        <v>195.26625487719798</v>
      </c>
      <c r="J17" s="118">
        <f t="shared" si="2"/>
        <v>220.65086801123368</v>
      </c>
      <c r="K17" s="118">
        <f t="shared" si="2"/>
        <v>249.33548085269405</v>
      </c>
      <c r="L17" s="118">
        <f t="shared" si="2"/>
        <v>281.74909336354426</v>
      </c>
      <c r="M17" s="118">
        <f t="shared" si="2"/>
        <v>318.37647550080499</v>
      </c>
    </row>
    <row r="18" spans="1:13" ht="13.2">
      <c r="A18" s="119" t="s">
        <v>235</v>
      </c>
      <c r="B18" s="120">
        <v>0.82</v>
      </c>
      <c r="C18" s="120">
        <v>0.82</v>
      </c>
      <c r="D18" s="120">
        <v>0.82</v>
      </c>
      <c r="E18" s="120">
        <v>0.82</v>
      </c>
      <c r="F18" s="120">
        <v>0.82</v>
      </c>
      <c r="G18" s="120">
        <v>0.82</v>
      </c>
      <c r="H18" s="120">
        <v>0.82</v>
      </c>
      <c r="I18" s="120">
        <v>0.82</v>
      </c>
      <c r="J18" s="120">
        <v>0.82</v>
      </c>
      <c r="K18" s="120">
        <v>0.82</v>
      </c>
      <c r="L18" s="120">
        <v>0.82</v>
      </c>
      <c r="M18" s="120">
        <v>0.82</v>
      </c>
    </row>
    <row r="19" spans="1:13" ht="13.2">
      <c r="A19" s="119" t="s">
        <v>236</v>
      </c>
      <c r="B19" s="121">
        <v>6.3700000000000007E-2</v>
      </c>
      <c r="C19" s="122">
        <v>6.1699999999999998E-2</v>
      </c>
      <c r="D19" s="122">
        <v>6.2600000000000003E-2</v>
      </c>
      <c r="E19" s="122">
        <v>6.1100000000000002E-2</v>
      </c>
      <c r="F19" s="122">
        <v>6.1600000000000002E-2</v>
      </c>
      <c r="G19" s="122">
        <v>6.0600000000000001E-2</v>
      </c>
      <c r="H19" s="122">
        <v>5.7200000000000001E-2</v>
      </c>
      <c r="I19" s="122">
        <v>5.3999999999999999E-2</v>
      </c>
      <c r="J19" s="122">
        <v>5.5300000000000002E-2</v>
      </c>
      <c r="K19" s="122">
        <v>5.7099999999999998E-2</v>
      </c>
      <c r="L19" s="122">
        <v>5.4399999999999997E-2</v>
      </c>
      <c r="M19" s="122">
        <v>5.4399999999999997E-2</v>
      </c>
    </row>
    <row r="20" spans="1:13" ht="13.2">
      <c r="A20" s="119" t="s">
        <v>237</v>
      </c>
      <c r="B20" s="121">
        <v>0.93630000000000002</v>
      </c>
      <c r="C20" s="122">
        <v>0.93830000000000002</v>
      </c>
      <c r="D20" s="122">
        <v>0.93740000000000001</v>
      </c>
      <c r="E20" s="122">
        <v>0.93889999999999996</v>
      </c>
      <c r="F20" s="122">
        <v>0.93840000000000001</v>
      </c>
      <c r="G20" s="122">
        <v>0.93940000000000001</v>
      </c>
      <c r="H20" s="122">
        <v>0.94279999999999997</v>
      </c>
      <c r="I20" s="122">
        <v>0.94599999999999995</v>
      </c>
      <c r="J20" s="122">
        <v>0.94469999999999998</v>
      </c>
      <c r="K20" s="122">
        <v>0.94289999999999996</v>
      </c>
      <c r="L20" s="122">
        <v>0.9456</v>
      </c>
      <c r="M20" s="122">
        <v>0.9456</v>
      </c>
    </row>
    <row r="21" spans="1:13" ht="13.2">
      <c r="A21" s="119" t="s">
        <v>238</v>
      </c>
      <c r="B21" s="123">
        <v>1068.45</v>
      </c>
      <c r="C21" s="124">
        <v>1246.48</v>
      </c>
      <c r="D21" s="124">
        <v>1388.27</v>
      </c>
      <c r="E21" s="124">
        <v>1607.26</v>
      </c>
      <c r="F21" s="124">
        <v>1801.46</v>
      </c>
      <c r="G21" s="124">
        <v>2069.2399999999998</v>
      </c>
      <c r="H21" s="124">
        <v>2477.23</v>
      </c>
      <c r="I21" s="124">
        <v>2965.15</v>
      </c>
      <c r="J21" s="124">
        <v>3271.86</v>
      </c>
      <c r="K21" s="124">
        <v>3580.65</v>
      </c>
      <c r="L21" s="124">
        <v>4246.95</v>
      </c>
      <c r="M21" s="124">
        <v>4799.0600000000004</v>
      </c>
    </row>
    <row r="22" spans="1:13" ht="13.2">
      <c r="A22" s="85"/>
      <c r="B22" s="85"/>
      <c r="C22" s="85"/>
      <c r="D22" s="85"/>
      <c r="E22" s="85"/>
      <c r="F22" s="85"/>
      <c r="G22" s="85"/>
      <c r="H22" s="85"/>
      <c r="I22" s="85"/>
      <c r="J22" s="85"/>
      <c r="K22" s="85"/>
      <c r="L22" s="85"/>
      <c r="M22" s="85"/>
    </row>
    <row r="23" spans="1:13" ht="13.2">
      <c r="A23" s="85"/>
      <c r="B23" s="85"/>
      <c r="C23" s="85"/>
      <c r="D23" s="85"/>
      <c r="E23" s="85"/>
      <c r="F23" s="85"/>
      <c r="G23" s="85"/>
      <c r="H23" s="85"/>
      <c r="I23" s="85"/>
      <c r="J23" s="85"/>
      <c r="K23" s="85"/>
      <c r="L23" s="85"/>
      <c r="M23" s="85"/>
    </row>
    <row r="24" spans="1:13" ht="13.2">
      <c r="A24" s="9"/>
      <c r="B24" s="9"/>
      <c r="C24" s="9"/>
      <c r="D24" s="9"/>
      <c r="E24" s="9"/>
      <c r="F24" s="9"/>
      <c r="G24" s="9"/>
      <c r="H24" s="9"/>
      <c r="I24" s="9"/>
      <c r="J24" s="9"/>
      <c r="K24" s="85"/>
      <c r="L24" s="85"/>
      <c r="M24" s="85"/>
    </row>
    <row r="25" spans="1:13" ht="13.2">
      <c r="A25" s="213" t="s">
        <v>239</v>
      </c>
      <c r="B25" s="211" t="s">
        <v>240</v>
      </c>
      <c r="C25" s="148"/>
      <c r="D25" s="148"/>
      <c r="E25" s="148"/>
      <c r="F25" s="148"/>
      <c r="G25" s="148"/>
      <c r="H25" s="148"/>
      <c r="I25" s="148"/>
      <c r="J25" s="158"/>
      <c r="K25" s="85"/>
      <c r="L25" s="85"/>
      <c r="M25" s="85"/>
    </row>
    <row r="26" spans="1:13" ht="36.75" customHeight="1">
      <c r="A26" s="162"/>
      <c r="B26" s="138"/>
      <c r="C26" s="138"/>
      <c r="D26" s="138"/>
      <c r="E26" s="138"/>
      <c r="F26" s="138"/>
      <c r="G26" s="138"/>
      <c r="H26" s="138"/>
      <c r="I26" s="138"/>
      <c r="J26" s="139"/>
      <c r="K26" s="85"/>
      <c r="L26" s="85"/>
      <c r="M26" s="85"/>
    </row>
    <row r="27" spans="1:13" ht="13.2">
      <c r="A27" s="213" t="s">
        <v>241</v>
      </c>
      <c r="B27" s="211" t="s">
        <v>242</v>
      </c>
      <c r="C27" s="148"/>
      <c r="D27" s="148"/>
      <c r="E27" s="148"/>
      <c r="F27" s="148"/>
      <c r="G27" s="148"/>
      <c r="H27" s="148"/>
      <c r="I27" s="148"/>
      <c r="J27" s="158"/>
      <c r="K27" s="85"/>
      <c r="L27" s="85"/>
      <c r="M27" s="85"/>
    </row>
    <row r="28" spans="1:13" ht="13.2">
      <c r="A28" s="161"/>
      <c r="B28" s="148"/>
      <c r="C28" s="148"/>
      <c r="D28" s="148"/>
      <c r="E28" s="148"/>
      <c r="F28" s="148"/>
      <c r="G28" s="148"/>
      <c r="H28" s="148"/>
      <c r="I28" s="148"/>
      <c r="J28" s="158"/>
      <c r="K28" s="85"/>
      <c r="L28" s="85"/>
      <c r="M28" s="85"/>
    </row>
    <row r="29" spans="1:13" ht="13.2">
      <c r="A29" s="162"/>
      <c r="B29" s="138"/>
      <c r="C29" s="138"/>
      <c r="D29" s="138"/>
      <c r="E29" s="138"/>
      <c r="F29" s="138"/>
      <c r="G29" s="138"/>
      <c r="H29" s="138"/>
      <c r="I29" s="138"/>
      <c r="J29" s="139"/>
      <c r="K29" s="85"/>
      <c r="L29" s="85"/>
      <c r="M29" s="85"/>
    </row>
    <row r="30" spans="1:13" ht="13.2">
      <c r="A30" s="213" t="s">
        <v>243</v>
      </c>
      <c r="B30" s="211" t="s">
        <v>244</v>
      </c>
      <c r="C30" s="148"/>
      <c r="D30" s="148"/>
      <c r="E30" s="148"/>
      <c r="F30" s="158"/>
      <c r="G30" s="125"/>
      <c r="H30" s="125"/>
      <c r="I30" s="125"/>
      <c r="J30" s="125"/>
      <c r="K30" s="85"/>
      <c r="L30" s="85"/>
      <c r="M30" s="85"/>
    </row>
    <row r="31" spans="1:13" ht="13.2">
      <c r="A31" s="161"/>
      <c r="B31" s="148"/>
      <c r="C31" s="148"/>
      <c r="D31" s="148"/>
      <c r="E31" s="148"/>
      <c r="F31" s="158"/>
      <c r="G31" s="125"/>
      <c r="H31" s="125"/>
      <c r="I31" s="125"/>
      <c r="J31" s="125"/>
      <c r="K31" s="85"/>
      <c r="L31" s="85"/>
      <c r="M31" s="85"/>
    </row>
    <row r="32" spans="1:13" ht="13.2">
      <c r="A32" s="161"/>
      <c r="B32" s="148"/>
      <c r="C32" s="148"/>
      <c r="D32" s="148"/>
      <c r="E32" s="148"/>
      <c r="F32" s="158"/>
      <c r="G32" s="125"/>
      <c r="H32" s="125"/>
      <c r="I32" s="125"/>
      <c r="J32" s="125"/>
      <c r="K32" s="85"/>
      <c r="L32" s="85"/>
      <c r="M32" s="85"/>
    </row>
    <row r="33" spans="1:13" ht="13.2">
      <c r="A33" s="162"/>
      <c r="B33" s="138"/>
      <c r="C33" s="138"/>
      <c r="D33" s="138"/>
      <c r="E33" s="138"/>
      <c r="F33" s="139"/>
      <c r="G33" s="125"/>
      <c r="H33" s="125"/>
      <c r="I33" s="125"/>
      <c r="J33" s="125"/>
      <c r="K33" s="85"/>
      <c r="L33" s="85"/>
      <c r="M33" s="85"/>
    </row>
    <row r="34" spans="1:13" ht="13.2">
      <c r="A34" s="85"/>
      <c r="B34" s="85"/>
      <c r="C34" s="85"/>
      <c r="D34" s="85"/>
      <c r="E34" s="85"/>
      <c r="F34" s="85"/>
      <c r="G34" s="85"/>
      <c r="H34" s="85"/>
      <c r="I34" s="85"/>
      <c r="J34" s="85"/>
      <c r="K34" s="85"/>
      <c r="L34" s="85"/>
      <c r="M34" s="85"/>
    </row>
  </sheetData>
  <mergeCells count="18">
    <mergeCell ref="A1:M1"/>
    <mergeCell ref="A7:H7"/>
    <mergeCell ref="B27:J29"/>
    <mergeCell ref="B30:F33"/>
    <mergeCell ref="A25:A26"/>
    <mergeCell ref="A2:H2"/>
    <mergeCell ref="A10:H10"/>
    <mergeCell ref="A11:H11"/>
    <mergeCell ref="A30:A33"/>
    <mergeCell ref="A5:H5"/>
    <mergeCell ref="A8:H8"/>
    <mergeCell ref="A6:H6"/>
    <mergeCell ref="A27:A29"/>
    <mergeCell ref="A9:H9"/>
    <mergeCell ref="A4:H4"/>
    <mergeCell ref="A12:H12"/>
    <mergeCell ref="A3:H3"/>
    <mergeCell ref="B25:J26"/>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1"/>
  <sheetViews>
    <sheetView showGridLines="0" tabSelected="1" topLeftCell="J18" workbookViewId="0">
      <selection sqref="A1:H1"/>
    </sheetView>
  </sheetViews>
  <sheetFormatPr defaultColWidth="12.6640625" defaultRowHeight="15.75" customHeight="1"/>
  <cols>
    <col min="2" max="2" width="41" customWidth="1"/>
    <col min="3" max="3" width="40.21875" customWidth="1"/>
    <col min="4" max="4" width="23.88671875" customWidth="1"/>
    <col min="5" max="5" width="24.88671875" customWidth="1"/>
    <col min="6" max="6" width="25.33203125" customWidth="1"/>
    <col min="7" max="12" width="25" customWidth="1"/>
  </cols>
  <sheetData>
    <row r="1" spans="1:12" ht="37.200000000000003">
      <c r="A1" s="212" t="s">
        <v>245</v>
      </c>
      <c r="B1" s="138"/>
      <c r="C1" s="138"/>
      <c r="D1" s="138"/>
      <c r="E1" s="138"/>
      <c r="F1" s="138"/>
      <c r="G1" s="138"/>
      <c r="H1" s="138"/>
      <c r="I1" s="126"/>
      <c r="J1" s="126"/>
      <c r="K1" s="126"/>
      <c r="L1" s="126"/>
    </row>
    <row r="2" spans="1:12" ht="13.2">
      <c r="A2" s="207" t="s">
        <v>246</v>
      </c>
      <c r="B2" s="141"/>
      <c r="C2" s="141"/>
      <c r="D2" s="141"/>
      <c r="E2" s="142"/>
      <c r="G2" s="85"/>
      <c r="H2" s="85"/>
      <c r="I2" s="85"/>
      <c r="J2" s="85"/>
      <c r="K2" s="85"/>
      <c r="L2" s="85"/>
    </row>
    <row r="3" spans="1:12" ht="13.2">
      <c r="A3" s="170" t="s">
        <v>247</v>
      </c>
      <c r="B3" s="141"/>
      <c r="C3" s="141"/>
      <c r="D3" s="141"/>
      <c r="E3" s="142"/>
      <c r="G3" s="85"/>
      <c r="H3" s="85"/>
      <c r="I3" s="85"/>
      <c r="J3" s="85"/>
      <c r="K3" s="85"/>
      <c r="L3" s="85"/>
    </row>
    <row r="4" spans="1:12" ht="13.2">
      <c r="A4" s="170" t="s">
        <v>248</v>
      </c>
      <c r="B4" s="141"/>
      <c r="C4" s="141"/>
      <c r="D4" s="141"/>
      <c r="E4" s="142"/>
      <c r="G4" s="85"/>
      <c r="H4" s="85"/>
      <c r="I4" s="85"/>
      <c r="J4" s="85"/>
      <c r="K4" s="85"/>
      <c r="L4" s="85"/>
    </row>
    <row r="5" spans="1:12" ht="13.2">
      <c r="A5" s="218" t="s">
        <v>249</v>
      </c>
      <c r="B5" s="180"/>
      <c r="C5" s="180"/>
      <c r="D5" s="180"/>
      <c r="E5" s="156"/>
      <c r="G5" s="55"/>
      <c r="H5" s="55"/>
      <c r="I5" s="55"/>
      <c r="J5" s="55"/>
      <c r="K5" s="55"/>
      <c r="L5" s="55"/>
    </row>
    <row r="6" spans="1:12" ht="13.2">
      <c r="A6" s="216" t="s">
        <v>20</v>
      </c>
      <c r="B6" s="148"/>
      <c r="C6" s="148"/>
      <c r="D6" s="148"/>
      <c r="E6" s="148"/>
      <c r="F6" s="148"/>
      <c r="G6" s="148"/>
      <c r="H6" s="148"/>
      <c r="I6" s="148"/>
      <c r="J6" s="21"/>
      <c r="K6" s="21"/>
      <c r="L6" s="21"/>
    </row>
    <row r="7" spans="1:12" ht="13.2">
      <c r="A7" s="216" t="s">
        <v>250</v>
      </c>
      <c r="B7" s="148"/>
      <c r="C7" s="148"/>
      <c r="D7" s="148"/>
      <c r="E7" s="148"/>
      <c r="F7" s="148"/>
      <c r="G7" s="148"/>
      <c r="H7" s="148"/>
      <c r="I7" s="148"/>
      <c r="J7" s="21"/>
      <c r="K7" s="21"/>
      <c r="L7" s="21"/>
    </row>
    <row r="8" spans="1:12" ht="13.2">
      <c r="A8" s="217" t="s">
        <v>251</v>
      </c>
      <c r="B8" s="148"/>
      <c r="C8" s="148"/>
      <c r="D8" s="148"/>
      <c r="E8" s="148"/>
      <c r="F8" s="148"/>
      <c r="G8" s="21"/>
      <c r="H8" s="21"/>
      <c r="I8" s="21"/>
      <c r="J8" s="21"/>
      <c r="K8" s="21"/>
      <c r="L8" s="21"/>
    </row>
    <row r="9" spans="1:12" ht="13.2">
      <c r="A9" s="217" t="s">
        <v>252</v>
      </c>
      <c r="B9" s="148"/>
      <c r="C9" s="148"/>
      <c r="D9" s="148"/>
      <c r="E9" s="148"/>
      <c r="F9" s="148"/>
      <c r="G9" s="21"/>
      <c r="H9" s="21"/>
      <c r="I9" s="21"/>
      <c r="J9" s="21"/>
      <c r="K9" s="21"/>
      <c r="L9" s="21"/>
    </row>
    <row r="10" spans="1:12" ht="13.2">
      <c r="A10" s="217" t="s">
        <v>253</v>
      </c>
      <c r="B10" s="148"/>
      <c r="C10" s="148"/>
      <c r="D10" s="148"/>
      <c r="E10" s="148"/>
      <c r="F10" s="148"/>
      <c r="G10" s="21"/>
      <c r="H10" s="21"/>
      <c r="I10" s="21"/>
      <c r="J10" s="21"/>
      <c r="K10" s="21"/>
      <c r="L10" s="21"/>
    </row>
    <row r="11" spans="1:12" ht="13.2">
      <c r="A11" s="217" t="s">
        <v>254</v>
      </c>
      <c r="B11" s="148"/>
      <c r="C11" s="148"/>
      <c r="D11" s="148"/>
      <c r="E11" s="148"/>
      <c r="F11" s="148"/>
      <c r="G11" s="21"/>
      <c r="H11" s="21"/>
      <c r="I11" s="21"/>
      <c r="J11" s="21"/>
      <c r="K11" s="21"/>
      <c r="L11" s="21"/>
    </row>
    <row r="12" spans="1:12" ht="13.2">
      <c r="A12" s="217" t="s">
        <v>255</v>
      </c>
      <c r="B12" s="148"/>
      <c r="C12" s="148"/>
      <c r="D12" s="148"/>
      <c r="E12" s="148"/>
      <c r="F12" s="148"/>
      <c r="G12" s="21"/>
      <c r="H12" s="21"/>
      <c r="I12" s="21"/>
      <c r="J12" s="21"/>
      <c r="K12" s="21"/>
      <c r="L12" s="21"/>
    </row>
    <row r="13" spans="1:12" ht="13.2">
      <c r="A13" s="217" t="s">
        <v>256</v>
      </c>
      <c r="B13" s="148"/>
      <c r="C13" s="148"/>
      <c r="D13" s="148"/>
      <c r="E13" s="148"/>
      <c r="F13" s="148"/>
      <c r="G13" s="21"/>
      <c r="H13" s="21"/>
      <c r="I13" s="21"/>
      <c r="J13" s="21"/>
      <c r="K13" s="21"/>
      <c r="L13" s="21"/>
    </row>
    <row r="14" spans="1:12" ht="13.2">
      <c r="A14" s="217" t="s">
        <v>257</v>
      </c>
      <c r="B14" s="148"/>
      <c r="C14" s="148"/>
      <c r="D14" s="148"/>
      <c r="E14" s="148"/>
      <c r="F14" s="148"/>
      <c r="G14" s="21"/>
      <c r="H14" s="21"/>
      <c r="I14" s="21"/>
      <c r="J14" s="21"/>
      <c r="K14" s="21"/>
      <c r="L14" s="21"/>
    </row>
    <row r="15" spans="1:12" ht="13.2">
      <c r="A15" s="9"/>
      <c r="B15" s="9"/>
      <c r="C15" s="9"/>
      <c r="D15" s="9"/>
      <c r="E15" s="9"/>
      <c r="F15" s="9"/>
      <c r="G15" s="9"/>
      <c r="H15" s="9"/>
      <c r="I15" s="85"/>
      <c r="J15" s="85"/>
      <c r="K15" s="85"/>
      <c r="L15" s="85"/>
    </row>
    <row r="16" spans="1:12" ht="66">
      <c r="A16" s="127"/>
      <c r="B16" s="128" t="s">
        <v>245</v>
      </c>
      <c r="C16" s="128" t="s">
        <v>258</v>
      </c>
      <c r="D16" s="128" t="s">
        <v>259</v>
      </c>
      <c r="E16" s="128" t="s">
        <v>260</v>
      </c>
      <c r="F16" s="128" t="s">
        <v>261</v>
      </c>
      <c r="G16" s="128" t="s">
        <v>262</v>
      </c>
      <c r="H16" s="128" t="s">
        <v>263</v>
      </c>
      <c r="I16" s="129" t="s">
        <v>264</v>
      </c>
      <c r="J16" s="130" t="s">
        <v>265</v>
      </c>
      <c r="K16" s="130" t="s">
        <v>266</v>
      </c>
      <c r="L16" s="130" t="s">
        <v>267</v>
      </c>
    </row>
    <row r="17" spans="1:12" ht="151.5" customHeight="1">
      <c r="A17" s="131">
        <v>1</v>
      </c>
      <c r="B17" s="132" t="s">
        <v>268</v>
      </c>
      <c r="C17" s="132" t="s">
        <v>269</v>
      </c>
      <c r="D17" s="132" t="s">
        <v>270</v>
      </c>
      <c r="E17" s="132" t="s">
        <v>271</v>
      </c>
      <c r="F17" s="132" t="s">
        <v>272</v>
      </c>
      <c r="G17" s="132" t="s">
        <v>273</v>
      </c>
      <c r="H17" s="132" t="s">
        <v>274</v>
      </c>
      <c r="I17" s="133">
        <v>9</v>
      </c>
      <c r="J17" s="133">
        <v>8</v>
      </c>
      <c r="K17" s="133">
        <v>7</v>
      </c>
      <c r="L17" s="133">
        <v>8</v>
      </c>
    </row>
    <row r="18" spans="1:12" ht="126" customHeight="1">
      <c r="A18" s="131">
        <v>2</v>
      </c>
      <c r="B18" s="132" t="s">
        <v>275</v>
      </c>
      <c r="C18" s="132" t="s">
        <v>276</v>
      </c>
      <c r="D18" s="132" t="s">
        <v>277</v>
      </c>
      <c r="E18" s="132" t="s">
        <v>278</v>
      </c>
      <c r="F18" s="132" t="s">
        <v>279</v>
      </c>
      <c r="G18" s="132" t="s">
        <v>280</v>
      </c>
      <c r="H18" s="132" t="s">
        <v>281</v>
      </c>
      <c r="I18" s="133">
        <v>8</v>
      </c>
      <c r="J18" s="8">
        <v>7</v>
      </c>
      <c r="K18" s="8">
        <v>8</v>
      </c>
      <c r="L18" s="134">
        <v>7.67</v>
      </c>
    </row>
    <row r="19" spans="1:12" ht="126" customHeight="1">
      <c r="A19" s="131">
        <v>3</v>
      </c>
      <c r="B19" s="132" t="s">
        <v>282</v>
      </c>
      <c r="C19" s="135" t="s">
        <v>283</v>
      </c>
      <c r="D19" s="132" t="s">
        <v>284</v>
      </c>
      <c r="E19" s="132" t="s">
        <v>285</v>
      </c>
      <c r="F19" s="132" t="s">
        <v>286</v>
      </c>
      <c r="G19" s="132" t="s">
        <v>287</v>
      </c>
      <c r="H19" s="132" t="s">
        <v>288</v>
      </c>
      <c r="I19" s="133">
        <v>8</v>
      </c>
      <c r="J19" s="8">
        <v>6</v>
      </c>
      <c r="K19" s="8">
        <v>6</v>
      </c>
      <c r="L19" s="134">
        <v>6.67</v>
      </c>
    </row>
    <row r="20" spans="1:12" ht="13.2">
      <c r="I20" s="85"/>
      <c r="J20" s="85"/>
      <c r="K20" s="85"/>
      <c r="L20" s="136"/>
    </row>
    <row r="21" spans="1:12" ht="13.2">
      <c r="I21" s="85"/>
      <c r="J21" s="85"/>
      <c r="K21" s="85"/>
    </row>
  </sheetData>
  <mergeCells count="14">
    <mergeCell ref="A1:H1"/>
    <mergeCell ref="A3:E3"/>
    <mergeCell ref="A14:F14"/>
    <mergeCell ref="A2:E2"/>
    <mergeCell ref="A9:F9"/>
    <mergeCell ref="A8:F8"/>
    <mergeCell ref="A5:E5"/>
    <mergeCell ref="A12:F12"/>
    <mergeCell ref="A6:I6"/>
    <mergeCell ref="A7:I7"/>
    <mergeCell ref="A11:F11"/>
    <mergeCell ref="A10:F10"/>
    <mergeCell ref="A4:E4"/>
    <mergeCell ref="A13:F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Deliverable</vt:lpstr>
      <vt:lpstr>Tab 1 - Engagement Type Analysi</vt:lpstr>
      <vt:lpstr>Tab 2 - Engagement State Analys</vt:lpstr>
      <vt:lpstr>Tab 3 - Retention Cohort Analys</vt:lpstr>
      <vt:lpstr>Tab 4 - Retention Curve </vt:lpstr>
      <vt:lpstr>Tab 5 - Retention Segmentation</vt:lpstr>
      <vt:lpstr>Tab 6 - Lifecycle Chart</vt:lpstr>
      <vt:lpstr>Tab 7 - Churn &amp; LTV Analysis</vt:lpstr>
      <vt:lpstr>Tab 8 - Experment Brief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O'Hara</cp:lastModifiedBy>
  <dcterms:created xsi:type="dcterms:W3CDTF">2026-05-11T01:56:46Z</dcterms:created>
  <dcterms:modified xsi:type="dcterms:W3CDTF">2026-05-12T05:40:54Z</dcterms:modified>
</cp:coreProperties>
</file>